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EDC550B-F50D-4C0B-BFD6-C5CDA57690D0}" xr6:coauthVersionLast="47" xr6:coauthVersionMax="47" xr10:uidLastSave="{00000000-0000-0000-0000-000000000000}"/>
  <bookViews>
    <workbookView xWindow="-110" yWindow="-110" windowWidth="19420" windowHeight="11500" firstSheet="3" activeTab="5" xr2:uid="{4094BD84-A296-4B73-B60F-44E3D66DE653}"/>
  </bookViews>
  <sheets>
    <sheet name="Raw Data" sheetId="1" r:id="rId1"/>
    <sheet name="Descriptive Stats" sheetId="2" r:id="rId2"/>
    <sheet name="Outlier Detection" sheetId="3" r:id="rId3"/>
    <sheet name="Correlation Matrix" sheetId="4" r:id="rId4"/>
    <sheet name="Charts" sheetId="5" r:id="rId5"/>
    <sheet name="Executive Summary" sheetId="12" r:id="rId6"/>
  </sheets>
  <definedNames>
    <definedName name="_xlchart.v1.0" hidden="1">'Raw Data'!$E$4:$E$303</definedName>
    <definedName name="_xlchart.v1.1" hidden="1">'Raw Data'!$E$3</definedName>
    <definedName name="_xlchart.v1.2" hidden="1">'Raw Data'!$E$4:$E$303</definedName>
    <definedName name="_xlchart.v1.3" hidden="1">'Raw Data'!$J$3</definedName>
    <definedName name="_xlchart.v1.4" hidden="1">'Raw Data'!$J$4:$J$303</definedName>
    <definedName name="_xlchart.v1.5" hidden="1">'Raw Data'!$F$4:$F$303</definedName>
    <definedName name="_xlchart.v1.6" hidden="1">'Raw Data'!$F$3</definedName>
    <definedName name="_xlchart.v1.7" hidden="1">'Raw Data'!$F$4:$F$303</definedName>
  </definedNames>
  <calcPr calcId="191029"/>
  <pivotCaches>
    <pivotCache cacheId="2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3" l="1"/>
  <c r="E4" i="3" s="1"/>
  <c r="D5" i="3"/>
  <c r="F5" i="3" s="1"/>
  <c r="D6" i="3"/>
  <c r="E6" i="3" s="1"/>
  <c r="F6" i="3" l="1"/>
  <c r="E5" i="3"/>
  <c r="F4" i="3"/>
</calcChain>
</file>

<file path=xl/sharedStrings.xml><?xml version="1.0" encoding="utf-8"?>
<sst xmlns="http://schemas.openxmlformats.org/spreadsheetml/2006/main" count="2218" uniqueCount="406">
  <si>
    <t>Region</t>
  </si>
  <si>
    <t>Customer_Age</t>
  </si>
  <si>
    <t>Customer_Income</t>
  </si>
  <si>
    <t>Marketing_Spend</t>
  </si>
  <si>
    <t>Quantity</t>
  </si>
  <si>
    <t>Unit_Price</t>
  </si>
  <si>
    <t>Total_Sales</t>
  </si>
  <si>
    <t>Customer_Satisfaction</t>
  </si>
  <si>
    <t>ORD1000</t>
  </si>
  <si>
    <t>West</t>
  </si>
  <si>
    <t>Clothing</t>
  </si>
  <si>
    <t>ORD1001</t>
  </si>
  <si>
    <t>North</t>
  </si>
  <si>
    <t>ORD1002</t>
  </si>
  <si>
    <t>East</t>
  </si>
  <si>
    <t>ORD1003</t>
  </si>
  <si>
    <t>Books</t>
  </si>
  <si>
    <t>ORD1004</t>
  </si>
  <si>
    <t>Home &amp; Kitchen</t>
  </si>
  <si>
    <t>ORD1005</t>
  </si>
  <si>
    <t>ORD1006</t>
  </si>
  <si>
    <t>Electronics</t>
  </si>
  <si>
    <t>ORD1007</t>
  </si>
  <si>
    <t>South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</si>
  <si>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</si>
  <si>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</si>
  <si>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</si>
  <si>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</si>
  <si>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</si>
  <si>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</si>
  <si>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</si>
  <si>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</si>
  <si>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</si>
  <si>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</si>
  <si>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</si>
  <si>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</si>
  <si>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</si>
  <si>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</si>
  <si>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</si>
  <si>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</si>
  <si>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</si>
  <si>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</si>
  <si>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</si>
  <si>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</si>
  <si>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</si>
  <si>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</si>
  <si>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</si>
  <si>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</si>
  <si>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</si>
  <si>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</si>
  <si>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</si>
  <si>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</si>
  <si>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</si>
  <si>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</si>
  <si>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</si>
  <si>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</si>
  <si>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</si>
  <si>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</si>
  <si>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</si>
  <si>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</si>
  <si>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</si>
  <si>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</si>
  <si>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</si>
  <si>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</si>
  <si>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</si>
  <si>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</si>
  <si>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</si>
  <si>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</si>
  <si>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</si>
  <si>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</si>
  <si>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</si>
  <si>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</si>
  <si>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</si>
  <si>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</si>
  <si>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</si>
  <si>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</si>
  <si>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</si>
  <si>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</si>
  <si>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</si>
  <si>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</si>
  <si>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</si>
  <si>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</si>
  <si>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</si>
  <si>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</si>
  <si>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</si>
  <si>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</si>
  <si>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</si>
  <si>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</si>
  <si>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</si>
  <si>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</si>
  <si>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</si>
  <si>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</si>
  <si>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</si>
  <si>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</si>
  <si>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</si>
  <si>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</si>
  <si>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</si>
  <si>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</si>
  <si>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</si>
  <si>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</si>
  <si>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</si>
  <si>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</si>
  <si>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</si>
  <si>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</si>
  <si>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</si>
  <si>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</si>
  <si>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</si>
  <si>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</si>
  <si>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</si>
  <si>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</si>
  <si>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</si>
  <si>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</si>
  <si>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</si>
  <si>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</si>
  <si>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</si>
  <si>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</si>
  <si>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</si>
  <si>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</si>
  <si>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</si>
  <si>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</si>
  <si>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</si>
  <si>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</si>
  <si>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</si>
  <si>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</si>
  <si>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</si>
  <si>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</si>
  <si>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</si>
  <si>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</si>
  <si>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</si>
  <si>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</si>
  <si>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</si>
  <si>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</si>
  <si>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</si>
  <si>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</si>
  <si>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</si>
  <si>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</si>
  <si>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</si>
  <si>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</si>
  <si>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</si>
  <si>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</si>
  <si>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</si>
  <si>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</si>
  <si>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</si>
  <si>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</si>
  <si>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</si>
  <si>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</si>
  <si>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</si>
  <si>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</si>
  <si>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</si>
  <si>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</si>
  <si>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</si>
  <si>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</si>
  <si>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</si>
  <si>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</si>
  <si>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</si>
  <si>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</si>
  <si>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</si>
  <si>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</si>
  <si>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</si>
  <si>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</si>
  <si>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</si>
  <si>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</si>
  <si>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</si>
  <si>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</si>
  <si>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</si>
  <si>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</si>
  <si>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</si>
  <si>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</si>
  <si>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</si>
  <si>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</si>
  <si>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</si>
  <si>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</si>
  <si>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</si>
  <si>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</si>
  <si>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</si>
  <si>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</si>
  <si>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</si>
  <si>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</si>
  <si>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</si>
  <si>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</si>
  <si>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</si>
  <si>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</si>
  <si>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</si>
  <si>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</si>
  <si>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</si>
  <si>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</si>
  <si>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</si>
  <si>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</si>
  <si>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</si>
  <si>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</si>
  <si>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</si>
  <si>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</si>
  <si>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</si>
  <si>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</si>
  <si>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</si>
  <si>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</si>
  <si>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</si>
  <si>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</si>
  <si>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</si>
  <si>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</si>
  <si>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</si>
  <si>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</si>
  <si>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</si>
  <si>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</si>
  <si>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</si>
  <si>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</si>
  <si>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</si>
  <si>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</si>
  <si>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</si>
  <si>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</si>
  <si>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</si>
  <si>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</si>
  <si>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</si>
  <si>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</si>
  <si>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</si>
  <si>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</si>
  <si>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</si>
  <si>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</si>
  <si>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</si>
  <si>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</si>
  <si>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</si>
  <si>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</si>
  <si>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</si>
  <si>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</si>
  <si>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</si>
  <si>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</si>
  <si>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</si>
  <si>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</si>
  <si>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</si>
  <si>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</si>
  <si>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</si>
  <si>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</si>
  <si>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</si>
  <si>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</si>
  <si>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</si>
  <si>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</si>
  <si>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</si>
  <si>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</si>
  <si>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</si>
  <si>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</si>
  <si>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</si>
  <si>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</si>
  <si>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</si>
  <si>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</si>
  <si>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</si>
  <si>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</si>
  <si>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</si>
  <si>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</si>
  <si>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</si>
  <si>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</si>
  <si>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</si>
  <si>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</si>
  <si>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</si>
  <si>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</si>
  <si>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</si>
  <si>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</si>
  <si>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</si>
  <si>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</si>
  <si>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</si>
  <si>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</si>
  <si>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</si>
  <si>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</si>
  <si>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</si>
  <si>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</si>
  <si>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</si>
  <si>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</si>
  <si>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</si>
  <si>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</si>
  <si>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</si>
  <si>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</si>
  <si>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</si>
  <si>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</si>
  <si>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</si>
  <si>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</si>
  <si>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</si>
  <si>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</si>
  <si>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</si>
  <si>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</si>
  <si>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</si>
  <si>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</si>
  <si>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</si>
  <si>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</si>
  <si>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</si>
  <si>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</si>
  <si>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</si>
  <si>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</si>
  <si>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</si>
  <si>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</si>
  <si>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</si>
  <si>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</si>
  <si>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</si>
  <si>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</si>
  <si>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</si>
  <si>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</si>
  <si>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</si>
  <si>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</si>
  <si>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</si>
  <si>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</si>
  <si>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</si>
  <si>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</si>
  <si>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</si>
  <si>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</si>
  <si>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</si>
  <si>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</si>
  <si>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</si>
  <si>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</si>
  <si>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</si>
  <si>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</si>
  <si>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</si>
  <si>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</si>
  <si>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</si>
  <si>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</si>
  <si>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</si>
  <si>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</si>
  <si>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</si>
  <si>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</si>
  <si>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Order ID</t>
  </si>
  <si>
    <t>Order Date</t>
  </si>
  <si>
    <t>Product Category</t>
  </si>
  <si>
    <t>Customer Age</t>
  </si>
  <si>
    <t>Customer Income</t>
  </si>
  <si>
    <t>Marketing Spend</t>
  </si>
  <si>
    <t>Unit Price</t>
  </si>
  <si>
    <t>Total Sales</t>
  </si>
  <si>
    <t>Customer Satisfaction</t>
  </si>
  <si>
    <r>
      <t xml:space="preserve">                                                                 </t>
    </r>
    <r>
      <rPr>
        <b/>
        <sz val="14"/>
        <color theme="4" tint="0.59999389629810485"/>
        <rFont val="Arial"/>
        <family val="2"/>
      </rPr>
      <t>SALES DATASET — 300 orders, Jan-Jun 2025</t>
    </r>
  </si>
  <si>
    <t>Metric</t>
  </si>
  <si>
    <t>Count</t>
  </si>
  <si>
    <t>Mean</t>
  </si>
  <si>
    <t>Median</t>
  </si>
  <si>
    <t>Std Dev</t>
  </si>
  <si>
    <t>Min</t>
  </si>
  <si>
    <t>Q1</t>
  </si>
  <si>
    <t>Q3</t>
  </si>
  <si>
    <t>Max</t>
  </si>
  <si>
    <t>Skew</t>
  </si>
  <si>
    <t xml:space="preserve">     DESCRIPTIVE STATISTICS — Five-Number Summary + Skew</t>
  </si>
  <si>
    <t>IQR</t>
  </si>
  <si>
    <t>OK</t>
  </si>
  <si>
    <t>OUTLIER</t>
  </si>
  <si>
    <r>
      <rPr>
        <b/>
        <sz val="14"/>
        <color theme="4" tint="0.59999389629810485"/>
        <rFont val="Arial"/>
        <family val="2"/>
      </rPr>
      <t>OUTLIER</t>
    </r>
    <r>
      <rPr>
        <b/>
        <sz val="14"/>
        <color indexed="56"/>
        <rFont val="Arial"/>
        <family val="2"/>
      </rPr>
      <t xml:space="preserve"> </t>
    </r>
    <r>
      <rPr>
        <b/>
        <sz val="14"/>
        <color theme="4" tint="0.59999389629810485"/>
        <rFont val="Arial"/>
        <family val="2"/>
      </rPr>
      <t>DETECTION — IQR Method (Outlier if &lt; Q1-1.5*IQR or &gt; Q3+1.5*IQR)</t>
    </r>
  </si>
  <si>
    <t xml:space="preserve">Column             </t>
  </si>
  <si>
    <t>Lower Bound</t>
  </si>
  <si>
    <t>Upper Bound</t>
  </si>
  <si>
    <t>Customer Age Flag</t>
  </si>
  <si>
    <t>Customer Income Flag</t>
  </si>
  <si>
    <t>Total Sales Flag</t>
  </si>
  <si>
    <r>
      <t xml:space="preserve">                                                   </t>
    </r>
    <r>
      <rPr>
        <b/>
        <sz val="14"/>
        <color theme="4" tint="0.59999389629810485"/>
        <rFont val="Arial"/>
        <family val="2"/>
      </rPr>
      <t>CORRELATION MATRIX — Pearson r between numeric fields</t>
    </r>
  </si>
  <si>
    <t>VISUAL EVIDENCE</t>
  </si>
  <si>
    <t>Month</t>
  </si>
  <si>
    <t>2025-01</t>
  </si>
  <si>
    <t>2025-02</t>
  </si>
  <si>
    <t>2025-03</t>
  </si>
  <si>
    <t>2025-04</t>
  </si>
  <si>
    <t>2025-05</t>
  </si>
  <si>
    <t>2025-06</t>
  </si>
  <si>
    <t>Row Labels</t>
  </si>
  <si>
    <t>Grand Total</t>
  </si>
  <si>
    <t>Sum of Total Sales</t>
  </si>
  <si>
    <t>Jan</t>
  </si>
  <si>
    <t>Feb</t>
  </si>
  <si>
    <t>Mar</t>
  </si>
  <si>
    <t>Apr</t>
  </si>
  <si>
    <t>May</t>
  </si>
  <si>
    <t>Jun</t>
  </si>
  <si>
    <t>Executive Summary — Sales EDA (Project 2)</t>
  </si>
  <si>
    <t>1. Problem Statement</t>
  </si>
  <si>
    <t>What drives Total_Sales, and are there data quality issues or unusual</t>
  </si>
  <si>
    <t>patterns that need investigation before this data is used for forecasting?</t>
  </si>
  <si>
    <t>2. Methodology</t>
  </si>
  <si>
    <t>• Loaded 300 sales records; computed the 5-number summary for all</t>
  </si>
  <si>
    <t xml:space="preserve">  numeric fields.</t>
  </si>
  <si>
    <t>• Checked distribution shape (skew) for Age and Income.</t>
  </si>
  <si>
    <t>• Flagged outliers using the IQR method (Q1 - 1.5*IQR to Q3 + 1.5*IQR).</t>
  </si>
  <si>
    <t>• Measured Pearson correlation between all numeric fields.</t>
  </si>
  <si>
    <t>• Aggregated sales by month to check for a trend.</t>
  </si>
  <si>
    <t>3. Key Findings</t>
  </si>
  <si>
    <t>• Marketing spend is the strongest driver of sales: correlation of</t>
  </si>
  <si>
    <t xml:space="preserve">  r = 0.86 between Marketing_Spend and Total_Sales — every</t>
  </si>
  <si>
    <t xml:space="preserve">  extra dollar in marketing is associated with a real increase in sales.</t>
  </si>
  <si>
    <t>• Customer age has almost no relationship with sales (r = 0.02).</t>
  </si>
  <si>
    <t xml:space="preserve">  Age-based targeting would not meaningfully improve conversion.</t>
  </si>
  <si>
    <t>• Customer income is right-skewed (skew = 16.89), meaning</t>
  </si>
  <si>
    <t xml:space="preserve">  a small number of high-income customers pull the average up — the</t>
  </si>
  <si>
    <t xml:space="preserve">  median income is more representative of a "typical" customer than</t>
  </si>
  <si>
    <t xml:space="preserve">  the mean.</t>
  </si>
  <si>
    <t>• 19 outliers flagged across Age, Income, and Total_Sales.</t>
  </si>
  <si>
    <t xml:space="preserve">  Two are clear data entry errors (an age of 129, a negative sales</t>
  </si>
  <si>
    <t xml:space="preserve">  value) that should be corrected or removed before any modeling. Two</t>
  </si>
  <si>
    <t xml:space="preserve">  are genuine high-value orders (~$4,800 and ~$3,950) that represent</t>
  </si>
  <si>
    <t xml:space="preserve">  real bulk/VIP customers — these should be investigated as a sales</t>
  </si>
  <si>
    <t xml:space="preserve">  opportunity, not deleted.</t>
  </si>
  <si>
    <t>• Sales grew 15% from the first to the last month in the</t>
  </si>
  <si>
    <t xml:space="preserve">  dataset, consistent with the seasonal trend built into the campaign.</t>
  </si>
  <si>
    <t>4. Recommendations</t>
  </si>
  <si>
    <t>1. Correct or remove the 19 flagged records before any</t>
  </si>
  <si>
    <t xml:space="preserve">   forecasting model is built (see `outlier_report.csv`).</t>
  </si>
  <si>
    <t>2. Prioritize marketing budget over age-based segmentation — the data</t>
  </si>
  <si>
    <t xml:space="preserve">   shows spend is the real lever, age is not.</t>
  </si>
  <si>
    <t>3. Follow up on the two large-order customers (ORD1088, ORD1210) as</t>
  </si>
  <si>
    <t xml:space="preserve">   potential repeat/VIP accounts.</t>
  </si>
  <si>
    <t>4. Use median (not mean) income when describing a "typical" customer in</t>
  </si>
  <si>
    <t xml:space="preserve">   future reporting, since the distribution is right-skewed.</t>
  </si>
  <si>
    <t>*Note: Correlation shows association, not causation — marketing spend and</t>
  </si>
  <si>
    <t>sales moving together does not by itself prove marketing caused every</t>
  </si>
  <si>
    <t>sale; other factors (season, region) may also contribute.*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</si>
</sst>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indexed="8"/>
      <name val="Calibri"/>
      <charset val="1"/>
    </font>
    <font>
      <b/>
      <sz val="14"/>
      <color indexed="56"/>
      <name val="Arial"/>
      <charset val="1"/>
    </font>
    <font>
      <sz val="10"/>
      <name val="Arial"/>
      <charset val="1"/>
    </font>
    <font>
      <b/>
      <sz val="14"/>
      <color theme="4" tint="0.59999389629810485"/>
      <name val="Arial"/>
      <family val="2"/>
    </font>
    <font>
      <b/>
      <sz val="14"/>
      <color indexed="56"/>
      <name val="Arial"/>
      <family val="2"/>
    </font>
    <font>
      <b/>
      <sz val="11"/>
      <color theme="4" tint="0.59999389629810485"/>
      <name val="Arial"/>
      <family val="2"/>
    </font>
    <font>
      <b/>
      <sz val="11"/>
      <color indexed="9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4" tint="0.79998168889431442"/>
      <name val="Calibri"/>
      <family val="2"/>
    </font>
    <font>
      <sz val="11"/>
      <color theme="4" tint="0.79998168889431442"/>
      <name val="Aptos Narrow"/>
      <family val="2"/>
      <scheme val="minor"/>
    </font>
    <font>
      <b/>
      <sz val="16"/>
      <color theme="4" tint="0.79998168889431442"/>
      <name val="Arial"/>
      <family val="2"/>
    </font>
    <font>
      <b/>
      <sz val="13"/>
      <color theme="4" tint="0.7999816888943144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5" fillId="0" borderId="0" xfId="0" applyFont="1"/>
    <xf numFmtId="0" fontId="9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5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right"/>
    </xf>
    <xf numFmtId="0" fontId="6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14" fontId="3" fillId="0" borderId="1" xfId="0" applyNumberFormat="1" applyFont="1" applyBorder="1" applyAlignment="1">
      <alignment horizontal="right"/>
    </xf>
    <xf numFmtId="0" fontId="10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horizontal="right"/>
    </xf>
    <xf numFmtId="0" fontId="11" fillId="2" borderId="0" xfId="0" applyNumberFormat="1" applyFont="1" applyFill="1"/>
    <xf numFmtId="0" fontId="8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wrapText="1"/>
    </xf>
    <xf numFmtId="0" fontId="13" fillId="2" borderId="0" xfId="0" applyNumberFormat="1" applyFont="1" applyFill="1" applyBorder="1" applyAlignment="1" applyProtection="1"/>
    <xf numFmtId="0" fontId="12" fillId="2" borderId="0" xfId="0" applyNumberFormat="1" applyFont="1" applyFill="1" applyBorder="1" applyAlignment="1" applyProtection="1"/>
  </cellXfs>
  <cellStyles count="1">
    <cellStyle name="Normal" xfId="0" builtinId="0"/>
  </cellStyles>
  <dxfs count="13">
    <dxf>
      <alignment horizontal="right"/>
    </dxf>
    <dxf>
      <alignment horizontal="right"/>
    </dxf>
    <dxf>
      <fill>
        <patternFill patternType="solid">
          <bgColor theme="3"/>
        </patternFill>
      </fill>
    </dxf>
    <dxf>
      <font>
        <color theme="4" tint="0.79998168889431442"/>
      </font>
    </dxf>
    <dxf>
      <font>
        <color theme="4" tint="0.79998168889431442"/>
      </font>
    </dxf>
    <dxf>
      <fill>
        <patternFill patternType="solid">
          <bgColor theme="3"/>
        </patternFill>
      </fill>
    </dxf>
    <dxf>
      <font>
        <color theme="4" tint="0.79998168889431442"/>
      </font>
    </dxf>
    <dxf>
      <fill>
        <patternFill patternType="solid">
          <bgColor theme="3"/>
        </patternFill>
      </fill>
    </dxf>
    <dxf>
      <font>
        <color theme="4" tint="0.79998168889431442"/>
      </font>
    </dxf>
    <dxf>
      <fill>
        <patternFill patternType="solid"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</a:t>
            </a:r>
            <a:r>
              <a:rPr lang="en-US" baseline="0"/>
              <a:t> Spend</a:t>
            </a:r>
            <a:r>
              <a:rPr lang="en-US"/>
              <a:t> VS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04469812850968"/>
          <c:y val="0.1900209044665877"/>
          <c:w val="0.78840682072498436"/>
          <c:h val="0.6699432095324368"/>
        </c:manualLayout>
      </c:layout>
      <c:scatterChart>
        <c:scatterStyle val="lineMarker"/>
        <c:varyColors val="0"/>
        <c:ser>
          <c:idx val="0"/>
          <c:order val="0"/>
          <c:tx>
            <c:v>Total Sales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'Raw Data'!$G$4:$G$303</c:f>
              <c:numCache>
                <c:formatCode>General</c:formatCode>
                <c:ptCount val="300"/>
                <c:pt idx="0">
                  <c:v>153.16</c:v>
                </c:pt>
                <c:pt idx="1">
                  <c:v>375.01</c:v>
                </c:pt>
                <c:pt idx="2">
                  <c:v>374.02</c:v>
                </c:pt>
                <c:pt idx="3">
                  <c:v>338.52</c:v>
                </c:pt>
                <c:pt idx="4">
                  <c:v>362.28</c:v>
                </c:pt>
                <c:pt idx="5">
                  <c:v>294.23</c:v>
                </c:pt>
                <c:pt idx="6">
                  <c:v>163.31</c:v>
                </c:pt>
                <c:pt idx="7">
                  <c:v>205.56</c:v>
                </c:pt>
                <c:pt idx="8">
                  <c:v>131.72</c:v>
                </c:pt>
                <c:pt idx="9">
                  <c:v>458.8</c:v>
                </c:pt>
                <c:pt idx="10">
                  <c:v>312.52999999999997</c:v>
                </c:pt>
                <c:pt idx="11">
                  <c:v>230.38</c:v>
                </c:pt>
                <c:pt idx="12">
                  <c:v>257.89999999999998</c:v>
                </c:pt>
                <c:pt idx="13">
                  <c:v>476.28</c:v>
                </c:pt>
                <c:pt idx="14">
                  <c:v>119.01</c:v>
                </c:pt>
                <c:pt idx="15">
                  <c:v>313.8</c:v>
                </c:pt>
                <c:pt idx="16">
                  <c:v>277.64999999999998</c:v>
                </c:pt>
                <c:pt idx="17">
                  <c:v>325.14999999999998</c:v>
                </c:pt>
                <c:pt idx="18">
                  <c:v>58.15</c:v>
                </c:pt>
                <c:pt idx="19">
                  <c:v>442.46</c:v>
                </c:pt>
                <c:pt idx="20">
                  <c:v>469.45</c:v>
                </c:pt>
                <c:pt idx="21">
                  <c:v>304.31</c:v>
                </c:pt>
                <c:pt idx="22">
                  <c:v>363.49</c:v>
                </c:pt>
                <c:pt idx="23">
                  <c:v>465.12</c:v>
                </c:pt>
                <c:pt idx="24">
                  <c:v>368.26</c:v>
                </c:pt>
                <c:pt idx="25">
                  <c:v>118.64</c:v>
                </c:pt>
                <c:pt idx="26">
                  <c:v>309.33</c:v>
                </c:pt>
                <c:pt idx="27">
                  <c:v>323.02</c:v>
                </c:pt>
                <c:pt idx="28">
                  <c:v>240.86</c:v>
                </c:pt>
                <c:pt idx="29">
                  <c:v>381.4</c:v>
                </c:pt>
                <c:pt idx="30">
                  <c:v>470.47</c:v>
                </c:pt>
                <c:pt idx="31">
                  <c:v>466.51</c:v>
                </c:pt>
                <c:pt idx="32">
                  <c:v>252.88</c:v>
                </c:pt>
                <c:pt idx="33">
                  <c:v>100.96</c:v>
                </c:pt>
                <c:pt idx="34">
                  <c:v>493.18</c:v>
                </c:pt>
                <c:pt idx="35">
                  <c:v>427.5</c:v>
                </c:pt>
                <c:pt idx="36">
                  <c:v>106.1</c:v>
                </c:pt>
                <c:pt idx="37">
                  <c:v>464.38</c:v>
                </c:pt>
                <c:pt idx="38">
                  <c:v>441.45</c:v>
                </c:pt>
                <c:pt idx="39">
                  <c:v>283.48</c:v>
                </c:pt>
                <c:pt idx="40">
                  <c:v>316.07</c:v>
                </c:pt>
                <c:pt idx="41">
                  <c:v>229.55</c:v>
                </c:pt>
                <c:pt idx="42">
                  <c:v>74.64</c:v>
                </c:pt>
                <c:pt idx="43">
                  <c:v>200.84</c:v>
                </c:pt>
                <c:pt idx="44">
                  <c:v>411.28</c:v>
                </c:pt>
                <c:pt idx="45">
                  <c:v>52.08</c:v>
                </c:pt>
                <c:pt idx="46">
                  <c:v>200.07</c:v>
                </c:pt>
                <c:pt idx="47">
                  <c:v>229.18</c:v>
                </c:pt>
                <c:pt idx="48">
                  <c:v>291.83</c:v>
                </c:pt>
                <c:pt idx="49">
                  <c:v>463.94</c:v>
                </c:pt>
                <c:pt idx="50">
                  <c:v>205.86</c:v>
                </c:pt>
                <c:pt idx="51">
                  <c:v>206.13</c:v>
                </c:pt>
                <c:pt idx="52">
                  <c:v>381.88</c:v>
                </c:pt>
                <c:pt idx="53">
                  <c:v>253.5</c:v>
                </c:pt>
                <c:pt idx="54">
                  <c:v>151.07</c:v>
                </c:pt>
                <c:pt idx="55">
                  <c:v>253.6</c:v>
                </c:pt>
                <c:pt idx="56">
                  <c:v>113.39</c:v>
                </c:pt>
                <c:pt idx="57">
                  <c:v>129.37</c:v>
                </c:pt>
                <c:pt idx="58">
                  <c:v>274.27</c:v>
                </c:pt>
                <c:pt idx="59">
                  <c:v>238.52</c:v>
                </c:pt>
                <c:pt idx="60">
                  <c:v>461.68</c:v>
                </c:pt>
                <c:pt idx="61">
                  <c:v>213.08</c:v>
                </c:pt>
                <c:pt idx="62">
                  <c:v>311.26</c:v>
                </c:pt>
                <c:pt idx="63">
                  <c:v>334.52</c:v>
                </c:pt>
                <c:pt idx="64">
                  <c:v>55.89</c:v>
                </c:pt>
                <c:pt idx="65">
                  <c:v>348.59</c:v>
                </c:pt>
                <c:pt idx="66">
                  <c:v>130.12</c:v>
                </c:pt>
                <c:pt idx="67">
                  <c:v>482.48</c:v>
                </c:pt>
                <c:pt idx="68">
                  <c:v>116.9</c:v>
                </c:pt>
                <c:pt idx="69">
                  <c:v>236.58</c:v>
                </c:pt>
                <c:pt idx="70">
                  <c:v>88.41</c:v>
                </c:pt>
                <c:pt idx="71">
                  <c:v>498.59</c:v>
                </c:pt>
                <c:pt idx="72">
                  <c:v>275.99</c:v>
                </c:pt>
                <c:pt idx="73">
                  <c:v>317.92</c:v>
                </c:pt>
                <c:pt idx="74">
                  <c:v>80.180000000000007</c:v>
                </c:pt>
                <c:pt idx="75">
                  <c:v>387.48</c:v>
                </c:pt>
                <c:pt idx="76">
                  <c:v>144.46</c:v>
                </c:pt>
                <c:pt idx="77">
                  <c:v>454.12</c:v>
                </c:pt>
                <c:pt idx="78">
                  <c:v>142.31</c:v>
                </c:pt>
                <c:pt idx="79">
                  <c:v>135.81</c:v>
                </c:pt>
                <c:pt idx="80">
                  <c:v>66.45</c:v>
                </c:pt>
                <c:pt idx="81">
                  <c:v>262.43</c:v>
                </c:pt>
                <c:pt idx="82">
                  <c:v>304.18</c:v>
                </c:pt>
                <c:pt idx="83">
                  <c:v>79.569999999999993</c:v>
                </c:pt>
                <c:pt idx="84">
                  <c:v>398.99</c:v>
                </c:pt>
                <c:pt idx="85">
                  <c:v>253.98</c:v>
                </c:pt>
                <c:pt idx="86">
                  <c:v>285.98</c:v>
                </c:pt>
                <c:pt idx="87">
                  <c:v>248.34</c:v>
                </c:pt>
                <c:pt idx="88">
                  <c:v>480</c:v>
                </c:pt>
                <c:pt idx="89">
                  <c:v>301.83999999999997</c:v>
                </c:pt>
                <c:pt idx="90">
                  <c:v>119.86</c:v>
                </c:pt>
                <c:pt idx="91">
                  <c:v>131.87</c:v>
                </c:pt>
                <c:pt idx="92">
                  <c:v>437.8</c:v>
                </c:pt>
                <c:pt idx="93">
                  <c:v>475.75</c:v>
                </c:pt>
                <c:pt idx="94">
                  <c:v>217.99</c:v>
                </c:pt>
                <c:pt idx="95">
                  <c:v>171.84</c:v>
                </c:pt>
                <c:pt idx="96">
                  <c:v>339.8</c:v>
                </c:pt>
                <c:pt idx="97">
                  <c:v>233.93</c:v>
                </c:pt>
                <c:pt idx="98">
                  <c:v>61.42</c:v>
                </c:pt>
                <c:pt idx="99">
                  <c:v>120.27</c:v>
                </c:pt>
                <c:pt idx="100">
                  <c:v>372.19</c:v>
                </c:pt>
                <c:pt idx="101">
                  <c:v>346.52</c:v>
                </c:pt>
                <c:pt idx="102">
                  <c:v>62.19</c:v>
                </c:pt>
                <c:pt idx="103">
                  <c:v>149.88999999999999</c:v>
                </c:pt>
                <c:pt idx="104">
                  <c:v>153.97999999999999</c:v>
                </c:pt>
                <c:pt idx="105">
                  <c:v>352.35</c:v>
                </c:pt>
                <c:pt idx="106">
                  <c:v>58.87</c:v>
                </c:pt>
                <c:pt idx="107">
                  <c:v>96.85</c:v>
                </c:pt>
                <c:pt idx="108">
                  <c:v>409.96</c:v>
                </c:pt>
                <c:pt idx="109">
                  <c:v>130.35</c:v>
                </c:pt>
                <c:pt idx="110">
                  <c:v>343.74</c:v>
                </c:pt>
                <c:pt idx="111">
                  <c:v>157.18</c:v>
                </c:pt>
                <c:pt idx="112">
                  <c:v>94.75</c:v>
                </c:pt>
                <c:pt idx="113">
                  <c:v>159.43</c:v>
                </c:pt>
                <c:pt idx="114">
                  <c:v>375.02</c:v>
                </c:pt>
                <c:pt idx="115">
                  <c:v>435.06</c:v>
                </c:pt>
                <c:pt idx="116">
                  <c:v>423.6</c:v>
                </c:pt>
                <c:pt idx="117">
                  <c:v>228.73</c:v>
                </c:pt>
                <c:pt idx="118">
                  <c:v>350.64</c:v>
                </c:pt>
                <c:pt idx="119">
                  <c:v>142.24</c:v>
                </c:pt>
                <c:pt idx="120">
                  <c:v>181.92</c:v>
                </c:pt>
                <c:pt idx="121">
                  <c:v>453.35</c:v>
                </c:pt>
                <c:pt idx="122">
                  <c:v>55.85</c:v>
                </c:pt>
                <c:pt idx="123">
                  <c:v>88.48</c:v>
                </c:pt>
                <c:pt idx="124">
                  <c:v>143.55000000000001</c:v>
                </c:pt>
                <c:pt idx="125">
                  <c:v>61.94</c:v>
                </c:pt>
                <c:pt idx="126">
                  <c:v>131.65</c:v>
                </c:pt>
                <c:pt idx="127">
                  <c:v>312.37</c:v>
                </c:pt>
                <c:pt idx="128">
                  <c:v>239.64</c:v>
                </c:pt>
                <c:pt idx="129">
                  <c:v>451.7</c:v>
                </c:pt>
                <c:pt idx="130">
                  <c:v>417.85</c:v>
                </c:pt>
                <c:pt idx="131">
                  <c:v>203.82</c:v>
                </c:pt>
                <c:pt idx="132">
                  <c:v>166.74</c:v>
                </c:pt>
                <c:pt idx="133">
                  <c:v>220.86</c:v>
                </c:pt>
                <c:pt idx="134">
                  <c:v>315.63</c:v>
                </c:pt>
                <c:pt idx="135">
                  <c:v>170.63</c:v>
                </c:pt>
                <c:pt idx="136">
                  <c:v>330.87</c:v>
                </c:pt>
                <c:pt idx="137">
                  <c:v>234.24</c:v>
                </c:pt>
                <c:pt idx="138">
                  <c:v>298.42</c:v>
                </c:pt>
                <c:pt idx="139">
                  <c:v>246.26</c:v>
                </c:pt>
                <c:pt idx="140">
                  <c:v>182.51</c:v>
                </c:pt>
                <c:pt idx="141">
                  <c:v>476.8</c:v>
                </c:pt>
                <c:pt idx="142">
                  <c:v>393.62</c:v>
                </c:pt>
                <c:pt idx="143">
                  <c:v>113.05</c:v>
                </c:pt>
                <c:pt idx="144">
                  <c:v>440.81</c:v>
                </c:pt>
                <c:pt idx="145">
                  <c:v>269.33999999999997</c:v>
                </c:pt>
                <c:pt idx="146">
                  <c:v>452.55</c:v>
                </c:pt>
                <c:pt idx="147">
                  <c:v>409.93</c:v>
                </c:pt>
                <c:pt idx="148">
                  <c:v>241.35</c:v>
                </c:pt>
                <c:pt idx="149">
                  <c:v>60.11</c:v>
                </c:pt>
                <c:pt idx="150">
                  <c:v>170.9</c:v>
                </c:pt>
                <c:pt idx="151">
                  <c:v>293.74</c:v>
                </c:pt>
                <c:pt idx="152">
                  <c:v>335.07</c:v>
                </c:pt>
                <c:pt idx="153">
                  <c:v>166.05</c:v>
                </c:pt>
                <c:pt idx="154">
                  <c:v>112.71</c:v>
                </c:pt>
                <c:pt idx="155">
                  <c:v>425.72</c:v>
                </c:pt>
                <c:pt idx="156">
                  <c:v>492.98</c:v>
                </c:pt>
                <c:pt idx="157">
                  <c:v>286.56</c:v>
                </c:pt>
                <c:pt idx="158">
                  <c:v>127.26</c:v>
                </c:pt>
                <c:pt idx="159">
                  <c:v>172.54</c:v>
                </c:pt>
                <c:pt idx="160">
                  <c:v>58.28</c:v>
                </c:pt>
                <c:pt idx="161">
                  <c:v>461.43</c:v>
                </c:pt>
                <c:pt idx="162">
                  <c:v>102.99</c:v>
                </c:pt>
                <c:pt idx="163">
                  <c:v>309.43</c:v>
                </c:pt>
                <c:pt idx="164">
                  <c:v>173.32</c:v>
                </c:pt>
                <c:pt idx="165">
                  <c:v>299.38</c:v>
                </c:pt>
                <c:pt idx="166">
                  <c:v>343.14</c:v>
                </c:pt>
                <c:pt idx="167">
                  <c:v>423.38</c:v>
                </c:pt>
                <c:pt idx="168">
                  <c:v>142.88999999999999</c:v>
                </c:pt>
                <c:pt idx="169">
                  <c:v>54.95</c:v>
                </c:pt>
                <c:pt idx="170">
                  <c:v>111.6</c:v>
                </c:pt>
                <c:pt idx="171">
                  <c:v>455.01</c:v>
                </c:pt>
                <c:pt idx="172">
                  <c:v>443.25</c:v>
                </c:pt>
                <c:pt idx="173">
                  <c:v>318.83999999999997</c:v>
                </c:pt>
                <c:pt idx="174">
                  <c:v>320.23</c:v>
                </c:pt>
                <c:pt idx="175">
                  <c:v>349.27</c:v>
                </c:pt>
                <c:pt idx="176">
                  <c:v>128.91999999999999</c:v>
                </c:pt>
                <c:pt idx="177">
                  <c:v>461.49</c:v>
                </c:pt>
                <c:pt idx="178">
                  <c:v>238.45</c:v>
                </c:pt>
                <c:pt idx="179">
                  <c:v>222.41</c:v>
                </c:pt>
                <c:pt idx="180">
                  <c:v>283.51</c:v>
                </c:pt>
                <c:pt idx="181">
                  <c:v>71.13</c:v>
                </c:pt>
                <c:pt idx="182">
                  <c:v>124.83</c:v>
                </c:pt>
                <c:pt idx="183">
                  <c:v>382.12</c:v>
                </c:pt>
                <c:pt idx="184">
                  <c:v>87.26</c:v>
                </c:pt>
                <c:pt idx="185">
                  <c:v>321.42</c:v>
                </c:pt>
                <c:pt idx="186">
                  <c:v>160.41</c:v>
                </c:pt>
                <c:pt idx="187">
                  <c:v>225.18</c:v>
                </c:pt>
                <c:pt idx="188">
                  <c:v>179.91</c:v>
                </c:pt>
                <c:pt idx="189">
                  <c:v>210.05</c:v>
                </c:pt>
                <c:pt idx="190">
                  <c:v>373.57</c:v>
                </c:pt>
                <c:pt idx="191">
                  <c:v>183.7</c:v>
                </c:pt>
                <c:pt idx="192">
                  <c:v>304.88</c:v>
                </c:pt>
                <c:pt idx="193">
                  <c:v>264.22000000000003</c:v>
                </c:pt>
                <c:pt idx="194">
                  <c:v>348.65</c:v>
                </c:pt>
                <c:pt idx="195">
                  <c:v>471.57</c:v>
                </c:pt>
                <c:pt idx="196">
                  <c:v>379.66</c:v>
                </c:pt>
                <c:pt idx="197">
                  <c:v>146.72</c:v>
                </c:pt>
                <c:pt idx="198">
                  <c:v>64.03</c:v>
                </c:pt>
                <c:pt idx="199">
                  <c:v>168.02</c:v>
                </c:pt>
                <c:pt idx="200">
                  <c:v>317.79000000000002</c:v>
                </c:pt>
                <c:pt idx="201">
                  <c:v>73.14</c:v>
                </c:pt>
                <c:pt idx="202">
                  <c:v>273.36</c:v>
                </c:pt>
                <c:pt idx="203">
                  <c:v>318.58</c:v>
                </c:pt>
                <c:pt idx="204">
                  <c:v>200.41</c:v>
                </c:pt>
                <c:pt idx="205">
                  <c:v>396.91</c:v>
                </c:pt>
                <c:pt idx="206">
                  <c:v>97.97</c:v>
                </c:pt>
                <c:pt idx="207">
                  <c:v>83.81</c:v>
                </c:pt>
                <c:pt idx="208">
                  <c:v>377.68</c:v>
                </c:pt>
                <c:pt idx="209">
                  <c:v>272.97000000000003</c:v>
                </c:pt>
                <c:pt idx="210">
                  <c:v>359.78</c:v>
                </c:pt>
                <c:pt idx="211">
                  <c:v>245.67</c:v>
                </c:pt>
                <c:pt idx="212">
                  <c:v>160.88</c:v>
                </c:pt>
                <c:pt idx="213">
                  <c:v>418.6</c:v>
                </c:pt>
                <c:pt idx="214">
                  <c:v>409.74</c:v>
                </c:pt>
                <c:pt idx="215">
                  <c:v>362.61</c:v>
                </c:pt>
                <c:pt idx="216">
                  <c:v>172.47</c:v>
                </c:pt>
                <c:pt idx="217">
                  <c:v>315.60000000000002</c:v>
                </c:pt>
                <c:pt idx="218">
                  <c:v>212.44</c:v>
                </c:pt>
                <c:pt idx="219">
                  <c:v>91.21</c:v>
                </c:pt>
                <c:pt idx="220">
                  <c:v>462.79</c:v>
                </c:pt>
                <c:pt idx="221">
                  <c:v>111.57</c:v>
                </c:pt>
                <c:pt idx="222">
                  <c:v>477.61</c:v>
                </c:pt>
                <c:pt idx="223">
                  <c:v>250.7</c:v>
                </c:pt>
                <c:pt idx="224">
                  <c:v>133.31</c:v>
                </c:pt>
                <c:pt idx="225">
                  <c:v>293.86</c:v>
                </c:pt>
                <c:pt idx="226">
                  <c:v>442.83</c:v>
                </c:pt>
                <c:pt idx="227">
                  <c:v>379.5</c:v>
                </c:pt>
                <c:pt idx="228">
                  <c:v>412.95</c:v>
                </c:pt>
                <c:pt idx="229">
                  <c:v>346.45</c:v>
                </c:pt>
                <c:pt idx="230">
                  <c:v>361.52</c:v>
                </c:pt>
                <c:pt idx="231">
                  <c:v>432.14</c:v>
                </c:pt>
                <c:pt idx="232">
                  <c:v>162.35</c:v>
                </c:pt>
                <c:pt idx="233">
                  <c:v>270.24</c:v>
                </c:pt>
                <c:pt idx="234">
                  <c:v>149.54</c:v>
                </c:pt>
                <c:pt idx="235">
                  <c:v>494.45</c:v>
                </c:pt>
                <c:pt idx="236">
                  <c:v>474.83</c:v>
                </c:pt>
                <c:pt idx="237">
                  <c:v>67.739999999999995</c:v>
                </c:pt>
                <c:pt idx="238">
                  <c:v>367.51</c:v>
                </c:pt>
                <c:pt idx="239">
                  <c:v>466.36</c:v>
                </c:pt>
                <c:pt idx="240">
                  <c:v>131.26</c:v>
                </c:pt>
                <c:pt idx="241">
                  <c:v>305.58</c:v>
                </c:pt>
                <c:pt idx="242">
                  <c:v>461.97</c:v>
                </c:pt>
                <c:pt idx="243">
                  <c:v>65.28</c:v>
                </c:pt>
                <c:pt idx="244">
                  <c:v>363.84</c:v>
                </c:pt>
                <c:pt idx="245">
                  <c:v>183.81</c:v>
                </c:pt>
                <c:pt idx="246">
                  <c:v>465.98</c:v>
                </c:pt>
                <c:pt idx="247">
                  <c:v>486.98</c:v>
                </c:pt>
                <c:pt idx="248">
                  <c:v>474.92</c:v>
                </c:pt>
                <c:pt idx="249">
                  <c:v>263.39999999999998</c:v>
                </c:pt>
                <c:pt idx="250">
                  <c:v>437.92</c:v>
                </c:pt>
                <c:pt idx="251">
                  <c:v>430.05</c:v>
                </c:pt>
                <c:pt idx="252">
                  <c:v>193.6</c:v>
                </c:pt>
                <c:pt idx="253">
                  <c:v>423.01</c:v>
                </c:pt>
                <c:pt idx="254">
                  <c:v>66.650000000000006</c:v>
                </c:pt>
                <c:pt idx="255">
                  <c:v>318.32</c:v>
                </c:pt>
                <c:pt idx="256">
                  <c:v>153.5</c:v>
                </c:pt>
                <c:pt idx="257">
                  <c:v>104.26</c:v>
                </c:pt>
                <c:pt idx="258">
                  <c:v>84.63</c:v>
                </c:pt>
                <c:pt idx="259">
                  <c:v>363.33</c:v>
                </c:pt>
                <c:pt idx="260">
                  <c:v>202.94</c:v>
                </c:pt>
                <c:pt idx="261">
                  <c:v>376.15</c:v>
                </c:pt>
                <c:pt idx="262">
                  <c:v>79.41</c:v>
                </c:pt>
                <c:pt idx="263">
                  <c:v>191.88</c:v>
                </c:pt>
                <c:pt idx="264">
                  <c:v>292.77</c:v>
                </c:pt>
                <c:pt idx="265">
                  <c:v>405.83</c:v>
                </c:pt>
                <c:pt idx="266">
                  <c:v>193.44</c:v>
                </c:pt>
                <c:pt idx="267">
                  <c:v>331.65</c:v>
                </c:pt>
                <c:pt idx="268">
                  <c:v>448.69</c:v>
                </c:pt>
                <c:pt idx="269">
                  <c:v>327.14</c:v>
                </c:pt>
                <c:pt idx="270">
                  <c:v>154.83000000000001</c:v>
                </c:pt>
                <c:pt idx="271">
                  <c:v>60.98</c:v>
                </c:pt>
                <c:pt idx="272">
                  <c:v>441.54</c:v>
                </c:pt>
                <c:pt idx="273">
                  <c:v>59.57</c:v>
                </c:pt>
                <c:pt idx="274">
                  <c:v>443.62</c:v>
                </c:pt>
                <c:pt idx="275">
                  <c:v>288.02</c:v>
                </c:pt>
                <c:pt idx="276">
                  <c:v>472.58</c:v>
                </c:pt>
                <c:pt idx="277">
                  <c:v>409.45</c:v>
                </c:pt>
                <c:pt idx="278">
                  <c:v>499.07</c:v>
                </c:pt>
                <c:pt idx="279">
                  <c:v>207.82</c:v>
                </c:pt>
                <c:pt idx="280">
                  <c:v>395.23</c:v>
                </c:pt>
                <c:pt idx="281">
                  <c:v>230.87</c:v>
                </c:pt>
                <c:pt idx="282">
                  <c:v>265.94</c:v>
                </c:pt>
                <c:pt idx="283">
                  <c:v>332.38</c:v>
                </c:pt>
                <c:pt idx="284">
                  <c:v>443.15</c:v>
                </c:pt>
                <c:pt idx="285">
                  <c:v>492.84</c:v>
                </c:pt>
                <c:pt idx="286">
                  <c:v>395.72</c:v>
                </c:pt>
                <c:pt idx="287">
                  <c:v>238</c:v>
                </c:pt>
                <c:pt idx="288">
                  <c:v>239.61</c:v>
                </c:pt>
                <c:pt idx="289">
                  <c:v>381.91</c:v>
                </c:pt>
                <c:pt idx="290">
                  <c:v>157.44999999999999</c:v>
                </c:pt>
                <c:pt idx="291">
                  <c:v>99.71</c:v>
                </c:pt>
                <c:pt idx="292">
                  <c:v>209.58</c:v>
                </c:pt>
                <c:pt idx="293">
                  <c:v>179.26</c:v>
                </c:pt>
                <c:pt idx="294">
                  <c:v>183.34</c:v>
                </c:pt>
                <c:pt idx="295">
                  <c:v>155.12</c:v>
                </c:pt>
                <c:pt idx="296">
                  <c:v>68.94</c:v>
                </c:pt>
                <c:pt idx="297">
                  <c:v>58.04</c:v>
                </c:pt>
                <c:pt idx="298">
                  <c:v>494.48</c:v>
                </c:pt>
                <c:pt idx="299">
                  <c:v>242.5</c:v>
                </c:pt>
              </c:numCache>
            </c:numRef>
          </c:xVal>
          <c:yVal>
            <c:numRef>
              <c:f>'Raw Data'!$J$4:$J$303</c:f>
              <c:numCache>
                <c:formatCode>General</c:formatCode>
                <c:ptCount val="300"/>
                <c:pt idx="0">
                  <c:v>764.15</c:v>
                </c:pt>
                <c:pt idx="1">
                  <c:v>1270.1600000000001</c:v>
                </c:pt>
                <c:pt idx="2">
                  <c:v>1425.61</c:v>
                </c:pt>
                <c:pt idx="3">
                  <c:v>1216.1400000000001</c:v>
                </c:pt>
                <c:pt idx="4">
                  <c:v>1305.3399999999999</c:v>
                </c:pt>
                <c:pt idx="5">
                  <c:v>1145.52</c:v>
                </c:pt>
                <c:pt idx="6">
                  <c:v>582.77</c:v>
                </c:pt>
                <c:pt idx="7">
                  <c:v>838.38</c:v>
                </c:pt>
                <c:pt idx="8">
                  <c:v>584.82000000000005</c:v>
                </c:pt>
                <c:pt idx="9">
                  <c:v>1657.56</c:v>
                </c:pt>
                <c:pt idx="10">
                  <c:v>1173.23</c:v>
                </c:pt>
                <c:pt idx="11">
                  <c:v>1083.6400000000001</c:v>
                </c:pt>
                <c:pt idx="12">
                  <c:v>924.26</c:v>
                </c:pt>
                <c:pt idx="13">
                  <c:v>1631.62</c:v>
                </c:pt>
                <c:pt idx="14">
                  <c:v>480.98</c:v>
                </c:pt>
                <c:pt idx="15">
                  <c:v>1109.72</c:v>
                </c:pt>
                <c:pt idx="16">
                  <c:v>987.49</c:v>
                </c:pt>
                <c:pt idx="17">
                  <c:v>1285.5999999999999</c:v>
                </c:pt>
                <c:pt idx="18">
                  <c:v>449.72</c:v>
                </c:pt>
                <c:pt idx="19">
                  <c:v>1520.21</c:v>
                </c:pt>
                <c:pt idx="20">
                  <c:v>1585.65</c:v>
                </c:pt>
                <c:pt idx="21">
                  <c:v>1161.51</c:v>
                </c:pt>
                <c:pt idx="22">
                  <c:v>1268.99</c:v>
                </c:pt>
                <c:pt idx="23">
                  <c:v>1689.02</c:v>
                </c:pt>
                <c:pt idx="24">
                  <c:v>1344.67</c:v>
                </c:pt>
                <c:pt idx="25">
                  <c:v>408.39</c:v>
                </c:pt>
                <c:pt idx="26">
                  <c:v>1263.6600000000001</c:v>
                </c:pt>
                <c:pt idx="27">
                  <c:v>1327.33</c:v>
                </c:pt>
                <c:pt idx="28">
                  <c:v>871.73</c:v>
                </c:pt>
                <c:pt idx="29">
                  <c:v>1339.46</c:v>
                </c:pt>
                <c:pt idx="30">
                  <c:v>1678.37</c:v>
                </c:pt>
                <c:pt idx="31">
                  <c:v>1669.59</c:v>
                </c:pt>
                <c:pt idx="32">
                  <c:v>1011.9</c:v>
                </c:pt>
                <c:pt idx="33">
                  <c:v>633.89</c:v>
                </c:pt>
                <c:pt idx="34">
                  <c:v>1714.02</c:v>
                </c:pt>
                <c:pt idx="35">
                  <c:v>1454.14</c:v>
                </c:pt>
                <c:pt idx="36">
                  <c:v>379.17</c:v>
                </c:pt>
                <c:pt idx="37">
                  <c:v>1577.54</c:v>
                </c:pt>
                <c:pt idx="38">
                  <c:v>1559.99</c:v>
                </c:pt>
                <c:pt idx="39">
                  <c:v>1200.7</c:v>
                </c:pt>
                <c:pt idx="40">
                  <c:v>1120.02</c:v>
                </c:pt>
                <c:pt idx="41">
                  <c:v>902.46</c:v>
                </c:pt>
                <c:pt idx="42">
                  <c:v>-450</c:v>
                </c:pt>
                <c:pt idx="43">
                  <c:v>887.76</c:v>
                </c:pt>
                <c:pt idx="44">
                  <c:v>1668.25</c:v>
                </c:pt>
                <c:pt idx="45">
                  <c:v>274.19</c:v>
                </c:pt>
                <c:pt idx="46">
                  <c:v>751.07</c:v>
                </c:pt>
                <c:pt idx="47">
                  <c:v>966.91</c:v>
                </c:pt>
                <c:pt idx="48">
                  <c:v>1138.4100000000001</c:v>
                </c:pt>
                <c:pt idx="49">
                  <c:v>1782.34</c:v>
                </c:pt>
                <c:pt idx="50">
                  <c:v>855.47</c:v>
                </c:pt>
                <c:pt idx="51">
                  <c:v>780.87</c:v>
                </c:pt>
                <c:pt idx="52">
                  <c:v>1479.27</c:v>
                </c:pt>
                <c:pt idx="53">
                  <c:v>1109.9000000000001</c:v>
                </c:pt>
                <c:pt idx="54">
                  <c:v>759.06</c:v>
                </c:pt>
                <c:pt idx="55">
                  <c:v>1062.0999999999999</c:v>
                </c:pt>
                <c:pt idx="56">
                  <c:v>658.18</c:v>
                </c:pt>
                <c:pt idx="57">
                  <c:v>717.53</c:v>
                </c:pt>
                <c:pt idx="58">
                  <c:v>1198.24</c:v>
                </c:pt>
                <c:pt idx="59">
                  <c:v>1025.1600000000001</c:v>
                </c:pt>
                <c:pt idx="60">
                  <c:v>1674.01</c:v>
                </c:pt>
                <c:pt idx="61">
                  <c:v>903.59</c:v>
                </c:pt>
                <c:pt idx="62">
                  <c:v>1302.55</c:v>
                </c:pt>
                <c:pt idx="63">
                  <c:v>1215.1099999999999</c:v>
                </c:pt>
                <c:pt idx="64">
                  <c:v>418.34</c:v>
                </c:pt>
                <c:pt idx="65">
                  <c:v>1294.02</c:v>
                </c:pt>
                <c:pt idx="66">
                  <c:v>628.67999999999995</c:v>
                </c:pt>
                <c:pt idx="67">
                  <c:v>1856.21</c:v>
                </c:pt>
                <c:pt idx="68">
                  <c:v>599.37</c:v>
                </c:pt>
                <c:pt idx="69">
                  <c:v>970.77</c:v>
                </c:pt>
                <c:pt idx="70">
                  <c:v>384.12</c:v>
                </c:pt>
                <c:pt idx="71">
                  <c:v>1865.19</c:v>
                </c:pt>
                <c:pt idx="72">
                  <c:v>1144.81</c:v>
                </c:pt>
                <c:pt idx="73">
                  <c:v>1400.4</c:v>
                </c:pt>
                <c:pt idx="74">
                  <c:v>441.95</c:v>
                </c:pt>
                <c:pt idx="75">
                  <c:v>1467.47</c:v>
                </c:pt>
                <c:pt idx="76">
                  <c:v>692.22</c:v>
                </c:pt>
                <c:pt idx="77">
                  <c:v>1789.38</c:v>
                </c:pt>
                <c:pt idx="78">
                  <c:v>657.77</c:v>
                </c:pt>
                <c:pt idx="79">
                  <c:v>666.91</c:v>
                </c:pt>
                <c:pt idx="80">
                  <c:v>471.27</c:v>
                </c:pt>
                <c:pt idx="81">
                  <c:v>1064.7</c:v>
                </c:pt>
                <c:pt idx="82">
                  <c:v>1147.6600000000001</c:v>
                </c:pt>
                <c:pt idx="83">
                  <c:v>480.15</c:v>
                </c:pt>
                <c:pt idx="84">
                  <c:v>1572.66</c:v>
                </c:pt>
                <c:pt idx="85">
                  <c:v>940.61</c:v>
                </c:pt>
                <c:pt idx="86">
                  <c:v>1135.77</c:v>
                </c:pt>
                <c:pt idx="87">
                  <c:v>948.68</c:v>
                </c:pt>
                <c:pt idx="88">
                  <c:v>4800</c:v>
                </c:pt>
                <c:pt idx="89">
                  <c:v>1054.03</c:v>
                </c:pt>
                <c:pt idx="90">
                  <c:v>548.84</c:v>
                </c:pt>
                <c:pt idx="91">
                  <c:v>662.16</c:v>
                </c:pt>
                <c:pt idx="92">
                  <c:v>1736.2</c:v>
                </c:pt>
                <c:pt idx="93">
                  <c:v>1727.14</c:v>
                </c:pt>
                <c:pt idx="94">
                  <c:v>863.15</c:v>
                </c:pt>
                <c:pt idx="95">
                  <c:v>910.38</c:v>
                </c:pt>
                <c:pt idx="96">
                  <c:v>1181.52</c:v>
                </c:pt>
                <c:pt idx="97">
                  <c:v>782.67</c:v>
                </c:pt>
                <c:pt idx="98">
                  <c:v>441.75</c:v>
                </c:pt>
                <c:pt idx="99">
                  <c:v>614.70000000000005</c:v>
                </c:pt>
                <c:pt idx="100">
                  <c:v>1379.31</c:v>
                </c:pt>
                <c:pt idx="101">
                  <c:v>1435.53</c:v>
                </c:pt>
                <c:pt idx="102">
                  <c:v>488.51</c:v>
                </c:pt>
                <c:pt idx="103">
                  <c:v>704.52</c:v>
                </c:pt>
                <c:pt idx="104">
                  <c:v>660.31</c:v>
                </c:pt>
                <c:pt idx="105">
                  <c:v>1467.32</c:v>
                </c:pt>
                <c:pt idx="106">
                  <c:v>510.4</c:v>
                </c:pt>
                <c:pt idx="107">
                  <c:v>571.99</c:v>
                </c:pt>
                <c:pt idx="108">
                  <c:v>1729.6</c:v>
                </c:pt>
                <c:pt idx="109">
                  <c:v>601.51</c:v>
                </c:pt>
                <c:pt idx="110">
                  <c:v>1247.93</c:v>
                </c:pt>
                <c:pt idx="111">
                  <c:v>717.62</c:v>
                </c:pt>
                <c:pt idx="112">
                  <c:v>569.54999999999995</c:v>
                </c:pt>
                <c:pt idx="113">
                  <c:v>799.64</c:v>
                </c:pt>
                <c:pt idx="114">
                  <c:v>1450.77</c:v>
                </c:pt>
                <c:pt idx="115">
                  <c:v>1690.36</c:v>
                </c:pt>
                <c:pt idx="116">
                  <c:v>1525.4</c:v>
                </c:pt>
                <c:pt idx="117">
                  <c:v>1117.44</c:v>
                </c:pt>
                <c:pt idx="118">
                  <c:v>1385.48</c:v>
                </c:pt>
                <c:pt idx="119">
                  <c:v>814.55</c:v>
                </c:pt>
                <c:pt idx="120">
                  <c:v>879.56</c:v>
                </c:pt>
                <c:pt idx="121">
                  <c:v>1757.26</c:v>
                </c:pt>
                <c:pt idx="122">
                  <c:v>494.3</c:v>
                </c:pt>
                <c:pt idx="123">
                  <c:v>588.95000000000005</c:v>
                </c:pt>
                <c:pt idx="124">
                  <c:v>780.78</c:v>
                </c:pt>
                <c:pt idx="125">
                  <c:v>574.54</c:v>
                </c:pt>
                <c:pt idx="126">
                  <c:v>707</c:v>
                </c:pt>
                <c:pt idx="127">
                  <c:v>1326.3</c:v>
                </c:pt>
                <c:pt idx="128">
                  <c:v>1029.67</c:v>
                </c:pt>
                <c:pt idx="129">
                  <c:v>1830.65</c:v>
                </c:pt>
                <c:pt idx="130">
                  <c:v>1553.01</c:v>
                </c:pt>
                <c:pt idx="131">
                  <c:v>1066.3</c:v>
                </c:pt>
                <c:pt idx="132">
                  <c:v>800.36</c:v>
                </c:pt>
                <c:pt idx="133">
                  <c:v>862.29</c:v>
                </c:pt>
                <c:pt idx="134">
                  <c:v>1290.26</c:v>
                </c:pt>
                <c:pt idx="135">
                  <c:v>761.53</c:v>
                </c:pt>
                <c:pt idx="136">
                  <c:v>1396.04</c:v>
                </c:pt>
                <c:pt idx="137">
                  <c:v>967.36</c:v>
                </c:pt>
                <c:pt idx="138">
                  <c:v>1189.25</c:v>
                </c:pt>
                <c:pt idx="139">
                  <c:v>906.87</c:v>
                </c:pt>
                <c:pt idx="140">
                  <c:v>817.85</c:v>
                </c:pt>
                <c:pt idx="141">
                  <c:v>1601.85</c:v>
                </c:pt>
                <c:pt idx="142">
                  <c:v>1402.87</c:v>
                </c:pt>
                <c:pt idx="143">
                  <c:v>692.59</c:v>
                </c:pt>
                <c:pt idx="144">
                  <c:v>1743.46</c:v>
                </c:pt>
                <c:pt idx="145">
                  <c:v>1165.92</c:v>
                </c:pt>
                <c:pt idx="146">
                  <c:v>1640.8</c:v>
                </c:pt>
                <c:pt idx="147">
                  <c:v>1577.96</c:v>
                </c:pt>
                <c:pt idx="148">
                  <c:v>1042.03</c:v>
                </c:pt>
                <c:pt idx="149">
                  <c:v>369.68</c:v>
                </c:pt>
                <c:pt idx="150">
                  <c:v>997.15</c:v>
                </c:pt>
                <c:pt idx="151">
                  <c:v>1340.16</c:v>
                </c:pt>
                <c:pt idx="152">
                  <c:v>1384.55</c:v>
                </c:pt>
                <c:pt idx="153">
                  <c:v>863.51</c:v>
                </c:pt>
                <c:pt idx="154">
                  <c:v>707.34</c:v>
                </c:pt>
                <c:pt idx="155">
                  <c:v>1528.97</c:v>
                </c:pt>
                <c:pt idx="156">
                  <c:v>1887.76</c:v>
                </c:pt>
                <c:pt idx="157">
                  <c:v>1192.43</c:v>
                </c:pt>
                <c:pt idx="158">
                  <c:v>657.1</c:v>
                </c:pt>
                <c:pt idx="159">
                  <c:v>859.64</c:v>
                </c:pt>
                <c:pt idx="160">
                  <c:v>660.31</c:v>
                </c:pt>
                <c:pt idx="161">
                  <c:v>1857.84</c:v>
                </c:pt>
                <c:pt idx="162">
                  <c:v>613.87</c:v>
                </c:pt>
                <c:pt idx="163">
                  <c:v>1365.98</c:v>
                </c:pt>
                <c:pt idx="164">
                  <c:v>996.57</c:v>
                </c:pt>
                <c:pt idx="165">
                  <c:v>1361.99</c:v>
                </c:pt>
                <c:pt idx="166">
                  <c:v>1432.82</c:v>
                </c:pt>
                <c:pt idx="167">
                  <c:v>1633.06</c:v>
                </c:pt>
                <c:pt idx="168">
                  <c:v>843.11</c:v>
                </c:pt>
                <c:pt idx="169">
                  <c:v>537.32000000000005</c:v>
                </c:pt>
                <c:pt idx="170">
                  <c:v>758.74</c:v>
                </c:pt>
                <c:pt idx="171">
                  <c:v>1836.85</c:v>
                </c:pt>
                <c:pt idx="172">
                  <c:v>1832.36</c:v>
                </c:pt>
                <c:pt idx="173">
                  <c:v>1307.47</c:v>
                </c:pt>
                <c:pt idx="174">
                  <c:v>1460.13</c:v>
                </c:pt>
                <c:pt idx="175">
                  <c:v>1463.47</c:v>
                </c:pt>
                <c:pt idx="176">
                  <c:v>908.56</c:v>
                </c:pt>
                <c:pt idx="177">
                  <c:v>1751.63</c:v>
                </c:pt>
                <c:pt idx="178">
                  <c:v>1231.92</c:v>
                </c:pt>
                <c:pt idx="179">
                  <c:v>1057.54</c:v>
                </c:pt>
                <c:pt idx="180">
                  <c:v>1185.1199999999999</c:v>
                </c:pt>
                <c:pt idx="181">
                  <c:v>518.91</c:v>
                </c:pt>
                <c:pt idx="182">
                  <c:v>703.83</c:v>
                </c:pt>
                <c:pt idx="183">
                  <c:v>1586.72</c:v>
                </c:pt>
                <c:pt idx="184">
                  <c:v>651.05999999999995</c:v>
                </c:pt>
                <c:pt idx="185">
                  <c:v>1312.65</c:v>
                </c:pt>
                <c:pt idx="186">
                  <c:v>841.36</c:v>
                </c:pt>
                <c:pt idx="187">
                  <c:v>1221.96</c:v>
                </c:pt>
                <c:pt idx="188">
                  <c:v>1043.92</c:v>
                </c:pt>
                <c:pt idx="189">
                  <c:v>1037.07</c:v>
                </c:pt>
                <c:pt idx="190">
                  <c:v>1528.46</c:v>
                </c:pt>
                <c:pt idx="191">
                  <c:v>927.44</c:v>
                </c:pt>
                <c:pt idx="192">
                  <c:v>1354.7</c:v>
                </c:pt>
                <c:pt idx="193">
                  <c:v>1093.68</c:v>
                </c:pt>
                <c:pt idx="194">
                  <c:v>1425.09</c:v>
                </c:pt>
                <c:pt idx="195">
                  <c:v>1705.54</c:v>
                </c:pt>
                <c:pt idx="196">
                  <c:v>1576.85</c:v>
                </c:pt>
                <c:pt idx="197">
                  <c:v>851.28</c:v>
                </c:pt>
                <c:pt idx="198">
                  <c:v>496.24</c:v>
                </c:pt>
                <c:pt idx="199">
                  <c:v>993.58</c:v>
                </c:pt>
                <c:pt idx="200">
                  <c:v>1308.8699999999999</c:v>
                </c:pt>
                <c:pt idx="201">
                  <c:v>506.9</c:v>
                </c:pt>
                <c:pt idx="202">
                  <c:v>1282.71</c:v>
                </c:pt>
                <c:pt idx="203">
                  <c:v>1493.22</c:v>
                </c:pt>
                <c:pt idx="204">
                  <c:v>1166.03</c:v>
                </c:pt>
                <c:pt idx="205">
                  <c:v>1623.4</c:v>
                </c:pt>
                <c:pt idx="206">
                  <c:v>789.8</c:v>
                </c:pt>
                <c:pt idx="207">
                  <c:v>655.11</c:v>
                </c:pt>
                <c:pt idx="208">
                  <c:v>1584.77</c:v>
                </c:pt>
                <c:pt idx="209">
                  <c:v>1334.2</c:v>
                </c:pt>
                <c:pt idx="210">
                  <c:v>3950</c:v>
                </c:pt>
                <c:pt idx="211">
                  <c:v>1050.03</c:v>
                </c:pt>
                <c:pt idx="212">
                  <c:v>1022.94</c:v>
                </c:pt>
                <c:pt idx="213">
                  <c:v>1839.93</c:v>
                </c:pt>
                <c:pt idx="214">
                  <c:v>1651.12</c:v>
                </c:pt>
                <c:pt idx="215">
                  <c:v>1582.02</c:v>
                </c:pt>
                <c:pt idx="216">
                  <c:v>981.43</c:v>
                </c:pt>
                <c:pt idx="217">
                  <c:v>1420.77</c:v>
                </c:pt>
                <c:pt idx="218">
                  <c:v>1025.78</c:v>
                </c:pt>
                <c:pt idx="219">
                  <c:v>628.14</c:v>
                </c:pt>
                <c:pt idx="220">
                  <c:v>1868.88</c:v>
                </c:pt>
                <c:pt idx="221">
                  <c:v>840.84</c:v>
                </c:pt>
                <c:pt idx="222">
                  <c:v>1961.84</c:v>
                </c:pt>
                <c:pt idx="223">
                  <c:v>1162.5899999999999</c:v>
                </c:pt>
                <c:pt idx="224">
                  <c:v>878.33</c:v>
                </c:pt>
                <c:pt idx="225">
                  <c:v>1102.47</c:v>
                </c:pt>
                <c:pt idx="226">
                  <c:v>1898.96</c:v>
                </c:pt>
                <c:pt idx="227">
                  <c:v>1465.22</c:v>
                </c:pt>
                <c:pt idx="228">
                  <c:v>1682.44</c:v>
                </c:pt>
                <c:pt idx="229">
                  <c:v>1409.07</c:v>
                </c:pt>
                <c:pt idx="230">
                  <c:v>1443.29</c:v>
                </c:pt>
                <c:pt idx="231">
                  <c:v>1865.71</c:v>
                </c:pt>
                <c:pt idx="232">
                  <c:v>872.1</c:v>
                </c:pt>
                <c:pt idx="233">
                  <c:v>1282.49</c:v>
                </c:pt>
                <c:pt idx="234">
                  <c:v>864.77</c:v>
                </c:pt>
                <c:pt idx="235">
                  <c:v>2010.4</c:v>
                </c:pt>
                <c:pt idx="236">
                  <c:v>1915.6</c:v>
                </c:pt>
                <c:pt idx="237">
                  <c:v>504.13</c:v>
                </c:pt>
                <c:pt idx="238">
                  <c:v>1645.73</c:v>
                </c:pt>
                <c:pt idx="239">
                  <c:v>1842.85</c:v>
                </c:pt>
                <c:pt idx="240">
                  <c:v>685.51</c:v>
                </c:pt>
                <c:pt idx="241">
                  <c:v>1333.61</c:v>
                </c:pt>
                <c:pt idx="242">
                  <c:v>1988.36</c:v>
                </c:pt>
                <c:pt idx="243">
                  <c:v>666.91</c:v>
                </c:pt>
                <c:pt idx="244">
                  <c:v>1526.4</c:v>
                </c:pt>
                <c:pt idx="245">
                  <c:v>950.25</c:v>
                </c:pt>
                <c:pt idx="246">
                  <c:v>1855.41</c:v>
                </c:pt>
                <c:pt idx="247">
                  <c:v>2114.48</c:v>
                </c:pt>
                <c:pt idx="248">
                  <c:v>1940.3</c:v>
                </c:pt>
                <c:pt idx="249">
                  <c:v>1267.28</c:v>
                </c:pt>
                <c:pt idx="250">
                  <c:v>1873.77</c:v>
                </c:pt>
                <c:pt idx="251">
                  <c:v>1845.26</c:v>
                </c:pt>
                <c:pt idx="252">
                  <c:v>1048.8</c:v>
                </c:pt>
                <c:pt idx="253">
                  <c:v>1787.92</c:v>
                </c:pt>
                <c:pt idx="254">
                  <c:v>657.55</c:v>
                </c:pt>
                <c:pt idx="255">
                  <c:v>1465.65</c:v>
                </c:pt>
                <c:pt idx="256">
                  <c:v>999.41</c:v>
                </c:pt>
                <c:pt idx="257">
                  <c:v>787.79</c:v>
                </c:pt>
                <c:pt idx="258">
                  <c:v>779.43</c:v>
                </c:pt>
                <c:pt idx="259">
                  <c:v>1606.2</c:v>
                </c:pt>
                <c:pt idx="260">
                  <c:v>1105.7</c:v>
                </c:pt>
                <c:pt idx="261">
                  <c:v>1493.82</c:v>
                </c:pt>
                <c:pt idx="262">
                  <c:v>777.42</c:v>
                </c:pt>
                <c:pt idx="263">
                  <c:v>1091.74</c:v>
                </c:pt>
                <c:pt idx="264">
                  <c:v>1466.7</c:v>
                </c:pt>
                <c:pt idx="265">
                  <c:v>1516.96</c:v>
                </c:pt>
                <c:pt idx="266">
                  <c:v>1236.08</c:v>
                </c:pt>
                <c:pt idx="267">
                  <c:v>1500.11</c:v>
                </c:pt>
                <c:pt idx="268">
                  <c:v>1974.46</c:v>
                </c:pt>
                <c:pt idx="269">
                  <c:v>1413.66</c:v>
                </c:pt>
                <c:pt idx="270">
                  <c:v>994.48</c:v>
                </c:pt>
                <c:pt idx="271">
                  <c:v>560.86</c:v>
                </c:pt>
                <c:pt idx="272">
                  <c:v>1813.03</c:v>
                </c:pt>
                <c:pt idx="273">
                  <c:v>793.75</c:v>
                </c:pt>
                <c:pt idx="274">
                  <c:v>1854.33</c:v>
                </c:pt>
                <c:pt idx="275">
                  <c:v>1389.06</c:v>
                </c:pt>
                <c:pt idx="276">
                  <c:v>2031.86</c:v>
                </c:pt>
                <c:pt idx="277">
                  <c:v>1799.89</c:v>
                </c:pt>
                <c:pt idx="278">
                  <c:v>2059.06</c:v>
                </c:pt>
                <c:pt idx="279">
                  <c:v>1144.22</c:v>
                </c:pt>
                <c:pt idx="280">
                  <c:v>1907.01</c:v>
                </c:pt>
                <c:pt idx="281">
                  <c:v>1184.17</c:v>
                </c:pt>
                <c:pt idx="282">
                  <c:v>1317.1</c:v>
                </c:pt>
                <c:pt idx="283">
                  <c:v>1597.67</c:v>
                </c:pt>
                <c:pt idx="284">
                  <c:v>1956.52</c:v>
                </c:pt>
                <c:pt idx="285">
                  <c:v>2122.0500000000002</c:v>
                </c:pt>
                <c:pt idx="286">
                  <c:v>1767.4</c:v>
                </c:pt>
                <c:pt idx="287">
                  <c:v>1120.1600000000001</c:v>
                </c:pt>
                <c:pt idx="288">
                  <c:v>1347.43</c:v>
                </c:pt>
                <c:pt idx="289">
                  <c:v>1580.4</c:v>
                </c:pt>
                <c:pt idx="290">
                  <c:v>978.05</c:v>
                </c:pt>
                <c:pt idx="291">
                  <c:v>708.73</c:v>
                </c:pt>
                <c:pt idx="292">
                  <c:v>1115.52</c:v>
                </c:pt>
                <c:pt idx="293">
                  <c:v>1049.93</c:v>
                </c:pt>
                <c:pt idx="294">
                  <c:v>1062.4000000000001</c:v>
                </c:pt>
                <c:pt idx="295">
                  <c:v>980.14</c:v>
                </c:pt>
                <c:pt idx="296">
                  <c:v>799.7</c:v>
                </c:pt>
                <c:pt idx="297">
                  <c:v>672.01</c:v>
                </c:pt>
                <c:pt idx="298">
                  <c:v>2012.8</c:v>
                </c:pt>
                <c:pt idx="299">
                  <c:v>1303.1300000000001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6C-457D-8401-FA5B26B2C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468047"/>
        <c:axId val="1709864943"/>
      </c:scatterChart>
      <c:valAx>
        <c:axId val="184546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baseline="0"/>
                  <a:t>Marketing Spend ($)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40217248919504356"/>
              <c:y val="0.8776632290432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864943"/>
        <c:crosses val="autoZero"/>
        <c:crossBetween val="midCat"/>
      </c:valAx>
      <c:valAx>
        <c:axId val="170986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baseline="0"/>
                  <a:t>Total Sales ($)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823804781899004E-2"/>
              <c:y val="0.365003484077764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46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Total Sales by Month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0758355090409"/>
          <c:y val="0.30100035095463007"/>
          <c:w val="0.69192804024496934"/>
          <c:h val="0.38343832020997376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57254.39</c:v>
              </c:pt>
              <c:pt idx="1">
                <c:v>51851.649999999994</c:v>
              </c:pt>
              <c:pt idx="2">
                <c:v>54299.73</c:v>
              </c:pt>
              <c:pt idx="3">
                <c:v>58385.610000000008</c:v>
              </c:pt>
              <c:pt idx="4">
                <c:v>71617.160000000018</c:v>
              </c:pt>
              <c:pt idx="5">
                <c:v>65577.52</c:v>
              </c:pt>
            </c:numLit>
          </c:val>
          <c:extLst>
            <c:ext xmlns:c16="http://schemas.microsoft.com/office/drawing/2014/chart" uri="{C3380CC4-5D6E-409C-BE32-E72D297353CC}">
              <c16:uniqueId val="{00000000-A1F2-4F6A-A3E9-812911941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1818991"/>
        <c:axId val="1709881263"/>
      </c:barChart>
      <c:catAx>
        <c:axId val="1701818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8027938123462072"/>
              <c:y val="0.809307703844907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881263"/>
        <c:crosses val="autoZero"/>
        <c:auto val="1"/>
        <c:lblAlgn val="ctr"/>
        <c:lblOffset val="100"/>
        <c:noMultiLvlLbl val="0"/>
      </c:catAx>
      <c:valAx>
        <c:axId val="170988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Total Sales ($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4.020792344361649E-2"/>
              <c:y val="0.32894497381238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81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Customer Income — Outliers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0000000-A3E0-4611-9DCF-E1C3389A4FAA}">
          <cx:tx>
            <cx:txData>
              <cx:f>_xlchart.v1.6</cx:f>
              <cx:v>Customer Income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Total Sales — Outliers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  <cx:extLst>
        <cx:ext uri="ext:featex">
          <cx:featureExtension feature="mp" drop="onModelChange">
            <cx:offset top="-0.02042541466653347" left="0.13276137411594391"/>
          </cx:featureExtension>
        </cx:ext>
      </cx:extLst>
    </cx:title>
    <cx:plotArea>
      <cx:plotAreaRegion>
        <cx:series layoutId="boxWhisker" uniqueId="{00000000-FF9D-413C-AC96-1D914D9F4ECA}">
          <cx:tx>
            <cx:txData>
              <cx:f>_xlchart.v1.3</cx:f>
              <cx:v>Total Sales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Distribution of Customer Age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0-622C-4D60-8A61-FB6993C0C8F9}" formatIdx="0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b="1"/>
                  <a:t>Customer Age (Years)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  <cx:extLst>
            <cx:ext uri="ext:featex">
              <cx:featureExtension feature="mp" drop="onModelChange">
                <cx:offset top="-0.069444432854652405" left="0.083333373069763184"/>
              </cx:featureExtension>
            </cx:ext>
          </cx:extLst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b="1"/>
                  <a:t>Number of Customers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  <cx:extLst>
            <cx:ext uri="ext:featex">
              <cx:featureExtension feature="mp" drop="onModelChange">
                <cx:offset top="0.2083333283662796" left="0.013889982365071774"/>
              </cx:featureExtension>
            </cx:ext>
          </cx:extLst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Distribution of Customer Income (Right-Skewed)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2-5428-4808-9A04-BD96504FCD77}" formatIdx="0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b="1"/>
                  <a:t>Customer Income ($)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b="1"/>
                  <a:t>Number of Customers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  <cx:extLst>
            <cx:ext uri="ext:featex">
              <cx:featureExtension feature="mp" drop="onModelChange">
                <cx:offset top="0.097222208976745605" left="-0.034720037132501602"/>
              </cx:featureExtension>
            </cx:ext>
          </cx:extLst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Customer Age — Outliers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0000000-0DCE-42D1-A907-8337AF416F96}">
          <cx:tx>
            <cx:txData>
              <cx:f>_xlchart.v1.1</cx:f>
              <cx:v>Customer Age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7" Type="http://schemas.microsoft.com/office/2014/relationships/chartEx" Target="../charts/chartEx5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microsoft.com/office/2014/relationships/chartEx" Target="../charts/chartEx4.xml"/><Relationship Id="rId5" Type="http://schemas.microsoft.com/office/2014/relationships/chartEx" Target="../charts/chartEx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320489</xdr:colOff>
      <xdr:row>2</xdr:row>
      <xdr:rowOff>168089</xdr:rowOff>
    </xdr:from>
    <xdr:to>
      <xdr:col>9</xdr:col>
      <xdr:colOff>314138</xdr:colOff>
      <xdr:row>18</xdr:row>
      <xdr:rowOff>89273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743A5-D598-43FE-BBEF-C050C80E0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561729</xdr:colOff>
      <xdr:row>57</xdr:row>
      <xdr:rowOff>91945</xdr:rowOff>
    </xdr:from>
    <xdr:to>
      <xdr:col>11</xdr:col>
      <xdr:colOff>589744</xdr:colOff>
      <xdr:row>71</xdr:row>
      <xdr:rowOff>82607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54C9534-DDBD-42B9-9391-05A09A1F5B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25191" y="11253291"/>
              <a:ext cx="3080899" cy="27260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73271</xdr:colOff>
      <xdr:row>57</xdr:row>
      <xdr:rowOff>107030</xdr:rowOff>
    </xdr:from>
    <xdr:to>
      <xdr:col>16</xdr:col>
      <xdr:colOff>73269</xdr:colOff>
      <xdr:row>71</xdr:row>
      <xdr:rowOff>97692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269825B-A284-4E29-A2BD-9884FBA625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10771" y="11268376"/>
              <a:ext cx="3052883" cy="27260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165216</xdr:colOff>
      <xdr:row>21</xdr:row>
      <xdr:rowOff>100564</xdr:rowOff>
    </xdr:from>
    <xdr:to>
      <xdr:col>9</xdr:col>
      <xdr:colOff>264427</xdr:colOff>
      <xdr:row>35</xdr:row>
      <xdr:rowOff>181434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B08630-980D-4C7C-95C8-999CDABF0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512886</xdr:colOff>
      <xdr:row>38</xdr:row>
      <xdr:rowOff>180300</xdr:rowOff>
    </xdr:from>
    <xdr:to>
      <xdr:col>10</xdr:col>
      <xdr:colOff>35256</xdr:colOff>
      <xdr:row>55</xdr:row>
      <xdr:rowOff>22698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EA068DD3-9283-40A5-935C-9C84662385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886" y="7629338"/>
              <a:ext cx="5628139" cy="31639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206877</xdr:colOff>
      <xdr:row>38</xdr:row>
      <xdr:rowOff>135047</xdr:rowOff>
    </xdr:from>
    <xdr:to>
      <xdr:col>16</xdr:col>
      <xdr:colOff>526129</xdr:colOff>
      <xdr:row>53</xdr:row>
      <xdr:rowOff>53502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B79CE387-EBEB-43ED-91D0-F7419EB8F7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23223" y="7584085"/>
              <a:ext cx="4593291" cy="284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229145</xdr:colOff>
      <xdr:row>57</xdr:row>
      <xdr:rowOff>107030</xdr:rowOff>
    </xdr:from>
    <xdr:to>
      <xdr:col>6</xdr:col>
      <xdr:colOff>219807</xdr:colOff>
      <xdr:row>71</xdr:row>
      <xdr:rowOff>70394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7279FAE3-302D-4099-813E-2036CE6277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9722" y="11268376"/>
              <a:ext cx="3043547" cy="2698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3.031336921296" createdVersion="8" refreshedVersion="8" minRefreshableVersion="3" recordCount="300" xr:uid="{35AEEDDE-DD87-4C45-9B2D-10062074B912}">
  <cacheSource type="worksheet">
    <worksheetSource ref="A3:K303" sheet="Raw Data"/>
  </cacheSource>
  <cacheFields count="12">
    <cacheField name="Order ID" numFmtId="0">
      <sharedItems/>
    </cacheField>
    <cacheField name="Order Date" numFmtId="14">
      <sharedItems containsSemiMixedTypes="0" containsNonDate="0" containsDate="1" containsString="0" minDate="2025-01-01T00:00:00" maxDate="2025-07-01T00:00:00" count="181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</sharedItems>
      <fieldGroup par="11"/>
    </cacheField>
    <cacheField name="Region" numFmtId="0">
      <sharedItems/>
    </cacheField>
    <cacheField name="Product Category" numFmtId="0">
      <sharedItems/>
    </cacheField>
    <cacheField name="Customer Age" numFmtId="0">
      <sharedItems containsSemiMixedTypes="0" containsString="0" containsNumber="1" containsInteger="1" minValue="18" maxValue="129"/>
    </cacheField>
    <cacheField name="Customer Income" numFmtId="0">
      <sharedItems containsSemiMixedTypes="0" containsString="0" containsNumber="1" containsInteger="1" minValue="15000" maxValue="2850000"/>
    </cacheField>
    <cacheField name="Marketing Spend" numFmtId="0">
      <sharedItems containsSemiMixedTypes="0" containsString="0" containsNumber="1" minValue="52.08" maxValue="499.07"/>
    </cacheField>
    <cacheField name="Quantity" numFmtId="0">
      <sharedItems containsSemiMixedTypes="0" containsString="0" containsNumber="1" containsInteger="1" minValue="1" maxValue="40"/>
    </cacheField>
    <cacheField name="Unit Price" numFmtId="0">
      <sharedItems containsSemiMixedTypes="0" containsString="0" containsNumber="1" minValue="52.81" maxValue="1915.6"/>
    </cacheField>
    <cacheField name="Total Sales" numFmtId="0">
      <sharedItems containsSemiMixedTypes="0" containsString="0" containsNumber="1" minValue="-450" maxValue="4800"/>
    </cacheField>
    <cacheField name="Customer Satisfaction" numFmtId="0">
      <sharedItems containsSemiMixedTypes="0" containsString="0" containsNumber="1" minValue="1" maxValue="4.8"/>
    </cacheField>
    <cacheField name="Months (Order Date)" numFmtId="0" databaseField="0">
      <fieldGroup base="1">
        <rangePr groupBy="months" startDate="2025-01-01T00:00:00" endDate="2025-07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ORD1000"/>
    <x v="0"/>
    <s v="West"/>
    <s v="Clothing"/>
    <n v="40"/>
    <n v="23993"/>
    <n v="153.16"/>
    <n v="6"/>
    <n v="127.36"/>
    <n v="764.15"/>
    <n v="2.2000000000000002"/>
  </r>
  <r>
    <s v="ORD1001"/>
    <x v="0"/>
    <s v="North"/>
    <s v="Clothing"/>
    <n v="34"/>
    <n v="27444"/>
    <n v="375.01"/>
    <n v="4"/>
    <n v="317.54000000000002"/>
    <n v="1270.1600000000001"/>
    <n v="3.2"/>
  </r>
  <r>
    <s v="ORD1002"/>
    <x v="1"/>
    <s v="East"/>
    <s v="Clothing"/>
    <n v="41"/>
    <n v="52767"/>
    <n v="374.02"/>
    <n v="6"/>
    <n v="237.6"/>
    <n v="1425.61"/>
    <n v="2.9"/>
  </r>
  <r>
    <s v="ORD1003"/>
    <x v="1"/>
    <s v="West"/>
    <s v="Books"/>
    <n v="50"/>
    <n v="49276"/>
    <n v="338.52"/>
    <n v="3"/>
    <n v="405.38"/>
    <n v="1216.1400000000001"/>
    <n v="3.3"/>
  </r>
  <r>
    <s v="ORD1004"/>
    <x v="2"/>
    <s v="East"/>
    <s v="Home &amp; Kitchen"/>
    <n v="33"/>
    <n v="35938"/>
    <n v="362.28"/>
    <n v="6"/>
    <n v="217.56"/>
    <n v="1305.3399999999999"/>
    <n v="3.4"/>
  </r>
  <r>
    <s v="ORD1005"/>
    <x v="3"/>
    <s v="West"/>
    <s v="Home &amp; Kitchen"/>
    <n v="33"/>
    <n v="38510"/>
    <n v="294.23"/>
    <n v="2"/>
    <n v="572.76"/>
    <n v="1145.52"/>
    <n v="3.3"/>
  </r>
  <r>
    <s v="ORD1006"/>
    <x v="3"/>
    <s v="North"/>
    <s v="Electronics"/>
    <n v="51"/>
    <n v="68791"/>
    <n v="163.31"/>
    <n v="2"/>
    <n v="291.38"/>
    <n v="582.77"/>
    <n v="1.8"/>
  </r>
  <r>
    <s v="ORD1007"/>
    <x v="4"/>
    <s v="South"/>
    <s v="Home &amp; Kitchen"/>
    <n v="43"/>
    <n v="27017"/>
    <n v="205.56"/>
    <n v="5"/>
    <n v="167.68"/>
    <n v="838.38"/>
    <n v="2.2000000000000002"/>
  </r>
  <r>
    <s v="ORD1008"/>
    <x v="4"/>
    <s v="North"/>
    <s v="Books"/>
    <n v="30"/>
    <n v="47741"/>
    <n v="131.72"/>
    <n v="1"/>
    <n v="584.82000000000005"/>
    <n v="584.82000000000005"/>
    <n v="2"/>
  </r>
  <r>
    <s v="ORD1009"/>
    <x v="5"/>
    <s v="East"/>
    <s v="Home &amp; Kitchen"/>
    <n v="40"/>
    <n v="32824"/>
    <n v="458.8"/>
    <n v="7"/>
    <n v="236.79"/>
    <n v="1657.56"/>
    <n v="3.3"/>
  </r>
  <r>
    <s v="ORD1010"/>
    <x v="6"/>
    <s v="West"/>
    <s v="Electronics"/>
    <n v="30"/>
    <n v="32570"/>
    <n v="312.52999999999997"/>
    <n v="3"/>
    <n v="391.08"/>
    <n v="1173.23"/>
    <n v="3"/>
  </r>
  <r>
    <s v="ORD1011"/>
    <x v="6"/>
    <s v="North"/>
    <s v="Home &amp; Kitchen"/>
    <n v="30"/>
    <n v="62905"/>
    <n v="230.38"/>
    <n v="5"/>
    <n v="216.73"/>
    <n v="1083.6400000000001"/>
    <n v="3.3"/>
  </r>
  <r>
    <s v="ORD1012"/>
    <x v="7"/>
    <s v="East"/>
    <s v="Electronics"/>
    <n v="37"/>
    <n v="54869"/>
    <n v="257.89999999999998"/>
    <n v="3"/>
    <n v="308.08999999999997"/>
    <n v="924.26"/>
    <n v="2.2999999999999998"/>
  </r>
  <r>
    <s v="ORD1013"/>
    <x v="7"/>
    <s v="North"/>
    <s v="Electronics"/>
    <n v="18"/>
    <n v="54544"/>
    <n v="476.28"/>
    <n v="1"/>
    <n v="1631.62"/>
    <n v="1631.62"/>
    <n v="2.5"/>
  </r>
  <r>
    <s v="ORD1014"/>
    <x v="8"/>
    <s v="East"/>
    <s v="Electronics"/>
    <n v="18"/>
    <n v="69755"/>
    <n v="119.01"/>
    <n v="6"/>
    <n v="80.16"/>
    <n v="480.98"/>
    <n v="3.7"/>
  </r>
  <r>
    <s v="ORD1015"/>
    <x v="9"/>
    <s v="South"/>
    <s v="Home &amp; Kitchen"/>
    <n v="29"/>
    <n v="36699"/>
    <n v="313.8"/>
    <n v="6"/>
    <n v="184.95"/>
    <n v="1109.72"/>
    <n v="2.2999999999999998"/>
  </r>
  <r>
    <s v="ORD1016"/>
    <x v="9"/>
    <s v="West"/>
    <s v="Home &amp; Kitchen"/>
    <n v="25"/>
    <n v="51071"/>
    <n v="277.64999999999998"/>
    <n v="7"/>
    <n v="141.07"/>
    <n v="987.49"/>
    <n v="3.3"/>
  </r>
  <r>
    <s v="ORD1017"/>
    <x v="10"/>
    <s v="East"/>
    <s v="Electronics"/>
    <n v="129"/>
    <n v="31097"/>
    <n v="325.14999999999998"/>
    <n v="1"/>
    <n v="1285.5999999999999"/>
    <n v="1285.5999999999999"/>
    <n v="3.1"/>
  </r>
  <r>
    <s v="ORD1018"/>
    <x v="10"/>
    <s v="South"/>
    <s v="Clothing"/>
    <n v="26"/>
    <n v="42706"/>
    <n v="58.15"/>
    <n v="5"/>
    <n v="89.94"/>
    <n v="449.72"/>
    <n v="2.5"/>
  </r>
  <r>
    <s v="ORD1019"/>
    <x v="11"/>
    <s v="North"/>
    <s v="Clothing"/>
    <n v="21"/>
    <n v="34028"/>
    <n v="442.46"/>
    <n v="7"/>
    <n v="217.17"/>
    <n v="1520.21"/>
    <n v="3.3"/>
  </r>
  <r>
    <s v="ORD1020"/>
    <x v="12"/>
    <s v="North"/>
    <s v="Clothing"/>
    <n v="50"/>
    <n v="38120"/>
    <n v="469.45"/>
    <n v="1"/>
    <n v="1585.65"/>
    <n v="1585.65"/>
    <n v="3.1"/>
  </r>
  <r>
    <s v="ORD1021"/>
    <x v="12"/>
    <s v="North"/>
    <s v="Electronics"/>
    <n v="33"/>
    <n v="48902"/>
    <n v="304.31"/>
    <n v="4"/>
    <n v="290.38"/>
    <n v="1161.51"/>
    <n v="3.3"/>
  </r>
  <r>
    <s v="ORD1022"/>
    <x v="13"/>
    <s v="North"/>
    <s v="Clothing"/>
    <n v="36"/>
    <n v="24122"/>
    <n v="363.49"/>
    <n v="2"/>
    <n v="634.5"/>
    <n v="1268.99"/>
    <n v="2.8"/>
  </r>
  <r>
    <s v="ORD1023"/>
    <x v="13"/>
    <s v="West"/>
    <s v="Home &amp; Kitchen"/>
    <n v="21"/>
    <n v="103383"/>
    <n v="465.12"/>
    <n v="7"/>
    <n v="241.29"/>
    <n v="1689.02"/>
    <n v="4.2"/>
  </r>
  <r>
    <s v="ORD1024"/>
    <x v="14"/>
    <s v="East"/>
    <s v="Electronics"/>
    <n v="30"/>
    <n v="21960"/>
    <n v="368.26"/>
    <n v="7"/>
    <n v="192.1"/>
    <n v="1344.67"/>
    <n v="3.5"/>
  </r>
  <r>
    <s v="ORD1025"/>
    <x v="15"/>
    <s v="South"/>
    <s v="Electronics"/>
    <n v="36"/>
    <n v="19789"/>
    <n v="118.64"/>
    <n v="5"/>
    <n v="81.680000000000007"/>
    <n v="408.39"/>
    <n v="2.7"/>
  </r>
  <r>
    <s v="ORD1026"/>
    <x v="15"/>
    <s v="North"/>
    <s v="Clothing"/>
    <n v="23"/>
    <n v="64800"/>
    <n v="309.33"/>
    <n v="3"/>
    <n v="421.22"/>
    <n v="1263.6600000000001"/>
    <n v="2.8"/>
  </r>
  <r>
    <s v="ORD1027"/>
    <x v="16"/>
    <s v="West"/>
    <s v="Books"/>
    <n v="39"/>
    <n v="53951"/>
    <n v="323.02"/>
    <n v="4"/>
    <n v="331.83"/>
    <n v="1327.33"/>
    <n v="3"/>
  </r>
  <r>
    <s v="ORD1028"/>
    <x v="16"/>
    <s v="East"/>
    <s v="Home &amp; Kitchen"/>
    <n v="29"/>
    <n v="49616"/>
    <n v="240.86"/>
    <n v="5"/>
    <n v="174.35"/>
    <n v="871.73"/>
    <n v="2"/>
  </r>
  <r>
    <s v="ORD1029"/>
    <x v="17"/>
    <s v="North"/>
    <s v="Home &amp; Kitchen"/>
    <n v="32"/>
    <n v="49721"/>
    <n v="381.4"/>
    <n v="1"/>
    <n v="1339.46"/>
    <n v="1339.46"/>
    <n v="2.9"/>
  </r>
  <r>
    <s v="ORD1030"/>
    <x v="18"/>
    <s v="East"/>
    <s v="Clothing"/>
    <n v="29"/>
    <n v="36094"/>
    <n v="470.47"/>
    <n v="1"/>
    <n v="1678.37"/>
    <n v="1678.37"/>
    <n v="2.8"/>
  </r>
  <r>
    <s v="ORD1031"/>
    <x v="18"/>
    <s v="South"/>
    <s v="Clothing"/>
    <n v="54"/>
    <n v="23188"/>
    <n v="466.51"/>
    <n v="1"/>
    <n v="1669.59"/>
    <n v="1669.59"/>
    <n v="4.2"/>
  </r>
  <r>
    <s v="ORD1032"/>
    <x v="19"/>
    <s v="North"/>
    <s v="Electronics"/>
    <n v="35"/>
    <n v="37718"/>
    <n v="252.88"/>
    <n v="1"/>
    <n v="1011.9"/>
    <n v="1011.9"/>
    <n v="2.9"/>
  </r>
  <r>
    <s v="ORD1033"/>
    <x v="19"/>
    <s v="South"/>
    <s v="Home &amp; Kitchen"/>
    <n v="24"/>
    <n v="25885"/>
    <n v="100.96"/>
    <n v="3"/>
    <n v="211.3"/>
    <n v="633.89"/>
    <n v="2.6"/>
  </r>
  <r>
    <s v="ORD1034"/>
    <x v="20"/>
    <s v="South"/>
    <s v="Books"/>
    <n v="43"/>
    <n v="59134"/>
    <n v="493.18"/>
    <n v="4"/>
    <n v="428.5"/>
    <n v="1714.02"/>
    <n v="3.4"/>
  </r>
  <r>
    <s v="ORD1035"/>
    <x v="21"/>
    <s v="North"/>
    <s v="Home &amp; Kitchen"/>
    <n v="23"/>
    <n v="33741"/>
    <n v="427.5"/>
    <n v="6"/>
    <n v="242.36"/>
    <n v="1454.14"/>
    <n v="3.4"/>
  </r>
  <r>
    <s v="ORD1036"/>
    <x v="21"/>
    <s v="West"/>
    <s v="Books"/>
    <n v="37"/>
    <n v="24035"/>
    <n v="106.1"/>
    <n v="2"/>
    <n v="189.58"/>
    <n v="379.17"/>
    <n v="3.7"/>
  </r>
  <r>
    <s v="ORD1037"/>
    <x v="22"/>
    <s v="West"/>
    <s v="Home &amp; Kitchen"/>
    <n v="18"/>
    <n v="30925"/>
    <n v="464.38"/>
    <n v="3"/>
    <n v="525.85"/>
    <n v="1577.54"/>
    <n v="3.2"/>
  </r>
  <r>
    <s v="ORD1038"/>
    <x v="22"/>
    <s v="East"/>
    <s v="Electronics"/>
    <n v="22"/>
    <n v="44644"/>
    <n v="441.45"/>
    <n v="3"/>
    <n v="520"/>
    <n v="1559.99"/>
    <n v="3"/>
  </r>
  <r>
    <s v="ORD1039"/>
    <x v="23"/>
    <s v="South"/>
    <s v="Books"/>
    <n v="37"/>
    <n v="27396"/>
    <n v="283.48"/>
    <n v="6"/>
    <n v="200.12"/>
    <n v="1200.7"/>
    <n v="3.3"/>
  </r>
  <r>
    <s v="ORD1040"/>
    <x v="24"/>
    <s v="South"/>
    <s v="Electronics"/>
    <n v="42"/>
    <n v="24074"/>
    <n v="316.07"/>
    <n v="6"/>
    <n v="186.67"/>
    <n v="1120.02"/>
    <n v="1.4"/>
  </r>
  <r>
    <s v="ORD1041"/>
    <x v="24"/>
    <s v="East"/>
    <s v="Clothing"/>
    <n v="37"/>
    <n v="41021"/>
    <n v="229.55"/>
    <n v="2"/>
    <n v="451.23"/>
    <n v="902.46"/>
    <n v="2.8"/>
  </r>
  <r>
    <s v="ORD1042"/>
    <x v="25"/>
    <s v="South"/>
    <s v="Electronics"/>
    <n v="34"/>
    <n v="41047"/>
    <n v="74.64"/>
    <n v="2"/>
    <n v="193.76"/>
    <n v="-450"/>
    <n v="2.1"/>
  </r>
  <r>
    <s v="ORD1043"/>
    <x v="25"/>
    <s v="North"/>
    <s v="Electronics"/>
    <n v="32"/>
    <n v="28185"/>
    <n v="200.84"/>
    <n v="6"/>
    <n v="147.96"/>
    <n v="887.76"/>
    <n v="2.1"/>
  </r>
  <r>
    <s v="ORD1044"/>
    <x v="26"/>
    <s v="South"/>
    <s v="Clothing"/>
    <n v="20"/>
    <n v="28695"/>
    <n v="411.28"/>
    <n v="1"/>
    <n v="1668.25"/>
    <n v="1668.25"/>
    <n v="3.8"/>
  </r>
  <r>
    <s v="ORD1045"/>
    <x v="27"/>
    <s v="West"/>
    <s v="Electronics"/>
    <n v="28"/>
    <n v="40783"/>
    <n v="52.08"/>
    <n v="3"/>
    <n v="91.4"/>
    <n v="274.19"/>
    <n v="2.2000000000000002"/>
  </r>
  <r>
    <s v="ORD1046"/>
    <x v="27"/>
    <s v="South"/>
    <s v="Clothing"/>
    <n v="30"/>
    <n v="17605"/>
    <n v="200.07"/>
    <n v="5"/>
    <n v="150.21"/>
    <n v="751.07"/>
    <n v="1.5"/>
  </r>
  <r>
    <s v="ORD1047"/>
    <x v="28"/>
    <s v="North"/>
    <s v="Clothing"/>
    <n v="46"/>
    <n v="17967"/>
    <n v="229.18"/>
    <n v="2"/>
    <n v="483.46"/>
    <n v="966.91"/>
    <n v="2.4"/>
  </r>
  <r>
    <s v="ORD1048"/>
    <x v="28"/>
    <s v="East"/>
    <s v="Electronics"/>
    <n v="38"/>
    <n v="25356"/>
    <n v="291.83"/>
    <n v="2"/>
    <n v="569.21"/>
    <n v="1138.4100000000001"/>
    <n v="1.2"/>
  </r>
  <r>
    <s v="ORD1049"/>
    <x v="29"/>
    <s v="North"/>
    <s v="Electronics"/>
    <n v="18"/>
    <n v="32639"/>
    <n v="463.94"/>
    <n v="6"/>
    <n v="297.06"/>
    <n v="1782.34"/>
    <n v="3.7"/>
  </r>
  <r>
    <s v="ORD1050"/>
    <x v="30"/>
    <s v="North"/>
    <s v="Clothing"/>
    <n v="38"/>
    <n v="42423"/>
    <n v="205.86"/>
    <n v="4"/>
    <n v="213.87"/>
    <n v="855.47"/>
    <n v="2.9"/>
  </r>
  <r>
    <s v="ORD1051"/>
    <x v="30"/>
    <s v="North"/>
    <s v="Electronics"/>
    <n v="31"/>
    <n v="75938"/>
    <n v="206.13"/>
    <n v="5"/>
    <n v="156.16999999999999"/>
    <n v="780.87"/>
    <n v="2.2000000000000002"/>
  </r>
  <r>
    <s v="ORD1052"/>
    <x v="31"/>
    <s v="South"/>
    <s v="Home &amp; Kitchen"/>
    <n v="28"/>
    <n v="55761"/>
    <n v="381.88"/>
    <n v="5"/>
    <n v="295.85000000000002"/>
    <n v="1479.27"/>
    <n v="3.6"/>
  </r>
  <r>
    <s v="ORD1053"/>
    <x v="31"/>
    <s v="East"/>
    <s v="Home &amp; Kitchen"/>
    <n v="41"/>
    <n v="33524"/>
    <n v="253.5"/>
    <n v="2"/>
    <n v="554.95000000000005"/>
    <n v="1109.9000000000001"/>
    <n v="2.2000000000000002"/>
  </r>
  <r>
    <s v="ORD1054"/>
    <x v="32"/>
    <s v="South"/>
    <s v="Home &amp; Kitchen"/>
    <n v="45"/>
    <n v="35972"/>
    <n v="151.07"/>
    <n v="1"/>
    <n v="759.06"/>
    <n v="759.06"/>
    <n v="2"/>
  </r>
  <r>
    <s v="ORD1055"/>
    <x v="33"/>
    <s v="North"/>
    <s v="Home &amp; Kitchen"/>
    <n v="44"/>
    <n v="21999"/>
    <n v="253.6"/>
    <n v="4"/>
    <n v="265.52"/>
    <n v="1062.0999999999999"/>
    <n v="3.1"/>
  </r>
  <r>
    <s v="ORD1056"/>
    <x v="33"/>
    <s v="West"/>
    <s v="Clothing"/>
    <n v="27"/>
    <n v="35981"/>
    <n v="113.39"/>
    <n v="5"/>
    <n v="131.63999999999999"/>
    <n v="658.18"/>
    <n v="2.1"/>
  </r>
  <r>
    <s v="ORD1057"/>
    <x v="34"/>
    <s v="West"/>
    <s v="Home &amp; Kitchen"/>
    <n v="32"/>
    <n v="31435"/>
    <n v="129.37"/>
    <n v="2"/>
    <n v="358.76"/>
    <n v="717.53"/>
    <n v="2.5"/>
  </r>
  <r>
    <s v="ORD1058"/>
    <x v="34"/>
    <s v="West"/>
    <s v="Electronics"/>
    <n v="38"/>
    <n v="42675"/>
    <n v="274.27"/>
    <n v="5"/>
    <n v="239.65"/>
    <n v="1198.24"/>
    <n v="2.7"/>
  </r>
  <r>
    <s v="ORD1059"/>
    <x v="35"/>
    <s v="North"/>
    <s v="Electronics"/>
    <n v="45"/>
    <n v="24014"/>
    <n v="238.52"/>
    <n v="7"/>
    <n v="146.44999999999999"/>
    <n v="1025.1600000000001"/>
    <n v="2.6"/>
  </r>
  <r>
    <s v="ORD1060"/>
    <x v="36"/>
    <s v="South"/>
    <s v="Home &amp; Kitchen"/>
    <n v="30"/>
    <n v="47083"/>
    <n v="461.68"/>
    <n v="4"/>
    <n v="418.5"/>
    <n v="1674.01"/>
    <n v="3.2"/>
  </r>
  <r>
    <s v="ORD1061"/>
    <x v="36"/>
    <s v="West"/>
    <s v="Clothing"/>
    <n v="33"/>
    <n v="78149"/>
    <n v="213.08"/>
    <n v="4"/>
    <n v="225.9"/>
    <n v="903.59"/>
    <n v="2.2999999999999998"/>
  </r>
  <r>
    <s v="ORD1062"/>
    <x v="37"/>
    <s v="East"/>
    <s v="Home &amp; Kitchen"/>
    <n v="24"/>
    <n v="34393"/>
    <n v="311.26"/>
    <n v="7"/>
    <n v="186.08"/>
    <n v="1302.55"/>
    <n v="3.3"/>
  </r>
  <r>
    <s v="ORD1063"/>
    <x v="37"/>
    <s v="North"/>
    <s v="Home &amp; Kitchen"/>
    <n v="23"/>
    <n v="44394"/>
    <n v="334.52"/>
    <n v="3"/>
    <n v="405.04"/>
    <n v="1215.1099999999999"/>
    <n v="2.7"/>
  </r>
  <r>
    <s v="ORD1064"/>
    <x v="38"/>
    <s v="North"/>
    <s v="Books"/>
    <n v="43"/>
    <n v="51281"/>
    <n v="55.89"/>
    <n v="7"/>
    <n v="59.76"/>
    <n v="418.34"/>
    <n v="2.2999999999999998"/>
  </r>
  <r>
    <s v="ORD1065"/>
    <x v="39"/>
    <s v="South"/>
    <s v="Books"/>
    <n v="49"/>
    <n v="29714"/>
    <n v="348.59"/>
    <n v="6"/>
    <n v="215.67"/>
    <n v="1294.02"/>
    <n v="2.7"/>
  </r>
  <r>
    <s v="ORD1066"/>
    <x v="39"/>
    <s v="West"/>
    <s v="Clothing"/>
    <n v="34"/>
    <n v="40621"/>
    <n v="130.12"/>
    <n v="6"/>
    <n v="104.78"/>
    <n v="628.67999999999995"/>
    <n v="1.6"/>
  </r>
  <r>
    <s v="ORD1067"/>
    <x v="40"/>
    <s v="South"/>
    <s v="Electronics"/>
    <n v="45"/>
    <n v="36545"/>
    <n v="482.48"/>
    <n v="2"/>
    <n v="928.1"/>
    <n v="1856.21"/>
    <n v="4.2"/>
  </r>
  <r>
    <s v="ORD1068"/>
    <x v="40"/>
    <s v="South"/>
    <s v="Clothing"/>
    <n v="39"/>
    <n v="38133"/>
    <n v="116.9"/>
    <n v="4"/>
    <n v="149.84"/>
    <n v="599.37"/>
    <n v="2.8"/>
  </r>
  <r>
    <s v="ORD1069"/>
    <x v="41"/>
    <s v="North"/>
    <s v="Clothing"/>
    <n v="29"/>
    <n v="24674"/>
    <n v="236.58"/>
    <n v="3"/>
    <n v="323.58999999999997"/>
    <n v="970.77"/>
    <n v="4.2"/>
  </r>
  <r>
    <s v="ORD1070"/>
    <x v="42"/>
    <s v="East"/>
    <s v="Home &amp; Kitchen"/>
    <n v="39"/>
    <n v="36763"/>
    <n v="88.41"/>
    <n v="3"/>
    <n v="128.04"/>
    <n v="384.12"/>
    <n v="1.6"/>
  </r>
  <r>
    <s v="ORD1071"/>
    <x v="42"/>
    <s v="West"/>
    <s v="Home &amp; Kitchen"/>
    <n v="50"/>
    <n v="46583"/>
    <n v="498.59"/>
    <n v="5"/>
    <n v="373.04"/>
    <n v="1865.19"/>
    <n v="3.5"/>
  </r>
  <r>
    <s v="ORD1072"/>
    <x v="43"/>
    <s v="South"/>
    <s v="Home &amp; Kitchen"/>
    <n v="35"/>
    <n v="75025"/>
    <n v="275.99"/>
    <n v="5"/>
    <n v="228.96"/>
    <n v="1144.81"/>
    <n v="2.9"/>
  </r>
  <r>
    <s v="ORD1073"/>
    <x v="43"/>
    <s v="East"/>
    <s v="Clothing"/>
    <n v="51"/>
    <n v="58667"/>
    <n v="317.92"/>
    <n v="7"/>
    <n v="200.06"/>
    <n v="1400.4"/>
    <n v="3.8"/>
  </r>
  <r>
    <s v="ORD1074"/>
    <x v="44"/>
    <s v="West"/>
    <s v="Electronics"/>
    <n v="18"/>
    <n v="106574"/>
    <n v="80.180000000000007"/>
    <n v="3"/>
    <n v="147.32"/>
    <n v="441.95"/>
    <n v="2"/>
  </r>
  <r>
    <s v="ORD1075"/>
    <x v="45"/>
    <s v="North"/>
    <s v="Clothing"/>
    <n v="43"/>
    <n v="24744"/>
    <n v="387.48"/>
    <n v="7"/>
    <n v="209.64"/>
    <n v="1467.47"/>
    <n v="2.6"/>
  </r>
  <r>
    <s v="ORD1076"/>
    <x v="45"/>
    <s v="South"/>
    <s v="Electronics"/>
    <n v="36"/>
    <n v="56171"/>
    <n v="144.46"/>
    <n v="7"/>
    <n v="98.89"/>
    <n v="692.22"/>
    <n v="3.3"/>
  </r>
  <r>
    <s v="ORD1077"/>
    <x v="46"/>
    <s v="North"/>
    <s v="Books"/>
    <n v="32"/>
    <n v="39802"/>
    <n v="454.12"/>
    <n v="5"/>
    <n v="357.88"/>
    <n v="1789.38"/>
    <n v="3.4"/>
  </r>
  <r>
    <s v="ORD1078"/>
    <x v="46"/>
    <s v="East"/>
    <s v="Electronics"/>
    <n v="36"/>
    <n v="108543"/>
    <n v="142.31"/>
    <n v="4"/>
    <n v="164.44"/>
    <n v="657.77"/>
    <n v="3.1"/>
  </r>
  <r>
    <s v="ORD1079"/>
    <x v="47"/>
    <s v="East"/>
    <s v="Electronics"/>
    <n v="18"/>
    <n v="24242"/>
    <n v="135.81"/>
    <n v="7"/>
    <n v="95.27"/>
    <n v="666.91"/>
    <n v="3"/>
  </r>
  <r>
    <s v="ORD1080"/>
    <x v="48"/>
    <s v="East"/>
    <s v="Electronics"/>
    <n v="33"/>
    <n v="23864"/>
    <n v="66.45"/>
    <n v="1"/>
    <n v="471.27"/>
    <n v="471.27"/>
    <n v="2.2999999999999998"/>
  </r>
  <r>
    <s v="ORD1081"/>
    <x v="48"/>
    <s v="East"/>
    <s v="Home &amp; Kitchen"/>
    <n v="39"/>
    <n v="26911"/>
    <n v="262.43"/>
    <n v="4"/>
    <n v="266.18"/>
    <n v="1064.7"/>
    <n v="2.8"/>
  </r>
  <r>
    <s v="ORD1082"/>
    <x v="49"/>
    <s v="South"/>
    <s v="Home &amp; Kitchen"/>
    <n v="50"/>
    <n v="15000"/>
    <n v="304.18"/>
    <n v="3"/>
    <n v="382.55"/>
    <n v="1147.6600000000001"/>
    <n v="2.7"/>
  </r>
  <r>
    <s v="ORD1083"/>
    <x v="49"/>
    <s v="West"/>
    <s v="Electronics"/>
    <n v="30"/>
    <n v="27921"/>
    <n v="79.569999999999993"/>
    <n v="3"/>
    <n v="160.05000000000001"/>
    <n v="480.15"/>
    <n v="2.4"/>
  </r>
  <r>
    <s v="ORD1084"/>
    <x v="50"/>
    <s v="South"/>
    <s v="Electronics"/>
    <n v="27"/>
    <n v="24846"/>
    <n v="398.99"/>
    <n v="7"/>
    <n v="224.67"/>
    <n v="1572.66"/>
    <n v="3.9"/>
  </r>
  <r>
    <s v="ORD1085"/>
    <x v="51"/>
    <s v="North"/>
    <s v="Clothing"/>
    <n v="30"/>
    <n v="39152"/>
    <n v="253.98"/>
    <n v="4"/>
    <n v="235.15"/>
    <n v="940.61"/>
    <n v="2.2999999999999998"/>
  </r>
  <r>
    <s v="ORD1086"/>
    <x v="51"/>
    <s v="East"/>
    <s v="Electronics"/>
    <n v="44"/>
    <n v="43083"/>
    <n v="285.98"/>
    <n v="5"/>
    <n v="227.15"/>
    <n v="1135.77"/>
    <n v="3"/>
  </r>
  <r>
    <s v="ORD1087"/>
    <x v="52"/>
    <s v="East"/>
    <s v="Home &amp; Kitchen"/>
    <n v="38"/>
    <n v="92789"/>
    <n v="248.34"/>
    <n v="5"/>
    <n v="189.74"/>
    <n v="948.68"/>
    <n v="2.1"/>
  </r>
  <r>
    <s v="ORD1088"/>
    <x v="52"/>
    <s v="South"/>
    <s v="Home &amp; Kitchen"/>
    <n v="30"/>
    <n v="58408"/>
    <n v="480"/>
    <n v="40"/>
    <n v="173.78"/>
    <n v="4800"/>
    <n v="2.2999999999999998"/>
  </r>
  <r>
    <s v="ORD1089"/>
    <x v="53"/>
    <s v="West"/>
    <s v="Clothing"/>
    <n v="40"/>
    <n v="27216"/>
    <n v="301.83999999999997"/>
    <n v="3"/>
    <n v="351.34"/>
    <n v="1054.03"/>
    <n v="2.9"/>
  </r>
  <r>
    <s v="ORD1090"/>
    <x v="54"/>
    <s v="West"/>
    <s v="Electronics"/>
    <n v="36"/>
    <n v="23174"/>
    <n v="119.86"/>
    <n v="2"/>
    <n v="274.42"/>
    <n v="548.84"/>
    <n v="1.2"/>
  </r>
  <r>
    <s v="ORD1091"/>
    <x v="54"/>
    <s v="North"/>
    <s v="Books"/>
    <n v="45"/>
    <n v="46442"/>
    <n v="131.87"/>
    <n v="6"/>
    <n v="110.36"/>
    <n v="662.16"/>
    <n v="3.8"/>
  </r>
  <r>
    <s v="ORD1092"/>
    <x v="55"/>
    <s v="West"/>
    <s v="Clothing"/>
    <n v="28"/>
    <n v="18768"/>
    <n v="437.8"/>
    <n v="5"/>
    <n v="347.24"/>
    <n v="1736.2"/>
    <n v="2.8"/>
  </r>
  <r>
    <s v="ORD1093"/>
    <x v="55"/>
    <s v="North"/>
    <s v="Home &amp; Kitchen"/>
    <n v="32"/>
    <n v="90738"/>
    <n v="475.75"/>
    <n v="4"/>
    <n v="431.78"/>
    <n v="1727.14"/>
    <n v="3.5"/>
  </r>
  <r>
    <s v="ORD1094"/>
    <x v="56"/>
    <s v="North"/>
    <s v="Electronics"/>
    <n v="31"/>
    <n v="65494"/>
    <n v="217.99"/>
    <n v="5"/>
    <n v="172.63"/>
    <n v="863.15"/>
    <n v="3.4"/>
  </r>
  <r>
    <s v="ORD1095"/>
    <x v="57"/>
    <s v="North"/>
    <s v="Clothing"/>
    <n v="20"/>
    <n v="28722"/>
    <n v="171.84"/>
    <n v="4"/>
    <n v="227.6"/>
    <n v="910.38"/>
    <n v="2.2000000000000002"/>
  </r>
  <r>
    <s v="ORD1096"/>
    <x v="57"/>
    <s v="West"/>
    <s v="Electronics"/>
    <n v="38"/>
    <n v="15420"/>
    <n v="339.8"/>
    <n v="6"/>
    <n v="196.92"/>
    <n v="1181.52"/>
    <n v="1.6"/>
  </r>
  <r>
    <s v="ORD1097"/>
    <x v="58"/>
    <s v="East"/>
    <s v="Clothing"/>
    <n v="38"/>
    <n v="71463"/>
    <n v="233.93"/>
    <n v="3"/>
    <n v="260.89"/>
    <n v="782.67"/>
    <n v="2.4"/>
  </r>
  <r>
    <s v="ORD1098"/>
    <x v="58"/>
    <s v="North"/>
    <s v="Books"/>
    <n v="35"/>
    <n v="34294"/>
    <n v="61.42"/>
    <n v="5"/>
    <n v="88.35"/>
    <n v="441.75"/>
    <n v="1.8"/>
  </r>
  <r>
    <s v="ORD1099"/>
    <x v="59"/>
    <s v="South"/>
    <s v="Clothing"/>
    <n v="33"/>
    <n v="67434"/>
    <n v="120.27"/>
    <n v="7"/>
    <n v="87.81"/>
    <n v="614.70000000000005"/>
    <n v="1.1000000000000001"/>
  </r>
  <r>
    <s v="ORD1100"/>
    <x v="60"/>
    <s v="East"/>
    <s v="Electronics"/>
    <n v="21"/>
    <n v="16363"/>
    <n v="372.19"/>
    <n v="4"/>
    <n v="344.83"/>
    <n v="1379.31"/>
    <n v="3.4"/>
  </r>
  <r>
    <s v="ORD1101"/>
    <x v="60"/>
    <s v="North"/>
    <s v="Electronics"/>
    <n v="31"/>
    <n v="26912"/>
    <n v="346.52"/>
    <n v="3"/>
    <n v="478.51"/>
    <n v="1435.53"/>
    <n v="3.4"/>
  </r>
  <r>
    <s v="ORD1102"/>
    <x v="61"/>
    <s v="West"/>
    <s v="Clothing"/>
    <n v="32"/>
    <n v="36411"/>
    <n v="62.19"/>
    <n v="2"/>
    <n v="244.26"/>
    <n v="488.51"/>
    <n v="3.1"/>
  </r>
  <r>
    <s v="ORD1103"/>
    <x v="62"/>
    <s v="West"/>
    <s v="Electronics"/>
    <n v="27"/>
    <n v="37179"/>
    <n v="149.88999999999999"/>
    <n v="4"/>
    <n v="176.13"/>
    <n v="704.52"/>
    <n v="1.9"/>
  </r>
  <r>
    <s v="ORD1104"/>
    <x v="62"/>
    <s v="South"/>
    <s v="Electronics"/>
    <n v="33"/>
    <n v="28998"/>
    <n v="153.97999999999999"/>
    <n v="6"/>
    <n v="110.05"/>
    <n v="660.31"/>
    <n v="1.6"/>
  </r>
  <r>
    <s v="ORD1105"/>
    <x v="63"/>
    <s v="West"/>
    <s v="Home &amp; Kitchen"/>
    <n v="39"/>
    <n v="49584"/>
    <n v="352.35"/>
    <n v="2"/>
    <n v="733.66"/>
    <n v="1467.32"/>
    <n v="3"/>
  </r>
  <r>
    <s v="ORD1106"/>
    <x v="63"/>
    <s v="South"/>
    <s v="Clothing"/>
    <n v="54"/>
    <n v="21294"/>
    <n v="58.87"/>
    <n v="2"/>
    <n v="255.2"/>
    <n v="510.4"/>
    <n v="2.2999999999999998"/>
  </r>
  <r>
    <s v="ORD1107"/>
    <x v="64"/>
    <s v="West"/>
    <s v="Electronics"/>
    <n v="37"/>
    <n v="33820"/>
    <n v="96.85"/>
    <n v="1"/>
    <n v="571.99"/>
    <n v="571.99"/>
    <n v="3"/>
  </r>
  <r>
    <s v="ORD1108"/>
    <x v="65"/>
    <s v="East"/>
    <s v="Books"/>
    <n v="38"/>
    <n v="38567"/>
    <n v="409.96"/>
    <n v="5"/>
    <n v="345.92"/>
    <n v="1729.6"/>
    <n v="4.3"/>
  </r>
  <r>
    <s v="ORD1109"/>
    <x v="65"/>
    <s v="East"/>
    <s v="Electronics"/>
    <n v="34"/>
    <n v="46968"/>
    <n v="130.35"/>
    <n v="4"/>
    <n v="150.38"/>
    <n v="601.51"/>
    <n v="3.2"/>
  </r>
  <r>
    <s v="ORD1110"/>
    <x v="66"/>
    <s v="North"/>
    <s v="Books"/>
    <n v="18"/>
    <n v="51834"/>
    <n v="343.74"/>
    <n v="2"/>
    <n v="623.96"/>
    <n v="1247.93"/>
    <n v="3.2"/>
  </r>
  <r>
    <s v="ORD1111"/>
    <x v="66"/>
    <s v="West"/>
    <s v="Electronics"/>
    <n v="35"/>
    <n v="20696"/>
    <n v="157.18"/>
    <n v="1"/>
    <n v="717.62"/>
    <n v="717.62"/>
    <n v="3.1"/>
  </r>
  <r>
    <s v="ORD1112"/>
    <x v="67"/>
    <s v="South"/>
    <s v="Books"/>
    <n v="36"/>
    <n v="16864"/>
    <n v="94.75"/>
    <n v="6"/>
    <n v="94.92"/>
    <n v="569.54999999999995"/>
    <n v="2.1"/>
  </r>
  <r>
    <s v="ORD1113"/>
    <x v="68"/>
    <s v="North"/>
    <s v="Home &amp; Kitchen"/>
    <n v="60"/>
    <n v="68792"/>
    <n v="159.43"/>
    <n v="3"/>
    <n v="266.55"/>
    <n v="799.64"/>
    <n v="2.8"/>
  </r>
  <r>
    <s v="ORD1114"/>
    <x v="68"/>
    <s v="North"/>
    <s v="Home &amp; Kitchen"/>
    <n v="33"/>
    <n v="42880"/>
    <n v="375.02"/>
    <n v="7"/>
    <n v="207.25"/>
    <n v="1450.77"/>
    <n v="2.5"/>
  </r>
  <r>
    <s v="ORD1115"/>
    <x v="69"/>
    <s v="East"/>
    <s v="Books"/>
    <n v="38"/>
    <n v="24978"/>
    <n v="435.06"/>
    <n v="7"/>
    <n v="241.48"/>
    <n v="1690.36"/>
    <n v="3.5"/>
  </r>
  <r>
    <s v="ORD1116"/>
    <x v="69"/>
    <s v="South"/>
    <s v="Electronics"/>
    <n v="35"/>
    <n v="78872"/>
    <n v="423.6"/>
    <n v="4"/>
    <n v="381.35"/>
    <n v="1525.4"/>
    <n v="3.4"/>
  </r>
  <r>
    <s v="ORD1117"/>
    <x v="70"/>
    <s v="East"/>
    <s v="Books"/>
    <n v="23"/>
    <n v="38478"/>
    <n v="228.73"/>
    <n v="2"/>
    <n v="558.72"/>
    <n v="1117.44"/>
    <n v="4"/>
  </r>
  <r>
    <s v="ORD1118"/>
    <x v="71"/>
    <s v="West"/>
    <s v="Clothing"/>
    <n v="46"/>
    <n v="65490"/>
    <n v="350.64"/>
    <n v="7"/>
    <n v="197.93"/>
    <n v="1385.48"/>
    <n v="3.1"/>
  </r>
  <r>
    <s v="ORD1119"/>
    <x v="71"/>
    <s v="North"/>
    <s v="Clothing"/>
    <n v="43"/>
    <n v="37562"/>
    <n v="142.24"/>
    <n v="5"/>
    <n v="162.91"/>
    <n v="814.55"/>
    <n v="2.7"/>
  </r>
  <r>
    <s v="ORD1120"/>
    <x v="72"/>
    <s v="East"/>
    <s v="Electronics"/>
    <n v="43"/>
    <n v="101760"/>
    <n v="181.92"/>
    <n v="7"/>
    <n v="125.65"/>
    <n v="879.56"/>
    <n v="2.9"/>
  </r>
  <r>
    <s v="ORD1121"/>
    <x v="72"/>
    <s v="North"/>
    <s v="Clothing"/>
    <n v="26"/>
    <n v="87349"/>
    <n v="453.35"/>
    <n v="7"/>
    <n v="251.04"/>
    <n v="1757.26"/>
    <n v="3.3"/>
  </r>
  <r>
    <s v="ORD1122"/>
    <x v="73"/>
    <s v="West"/>
    <s v="Electronics"/>
    <n v="49"/>
    <n v="32065"/>
    <n v="55.85"/>
    <n v="7"/>
    <n v="70.61"/>
    <n v="494.3"/>
    <n v="1.9"/>
  </r>
  <r>
    <s v="ORD1123"/>
    <x v="74"/>
    <s v="West"/>
    <s v="Clothing"/>
    <n v="21"/>
    <n v="59029"/>
    <n v="88.48"/>
    <n v="1"/>
    <n v="588.95000000000005"/>
    <n v="588.95000000000005"/>
    <n v="3.2"/>
  </r>
  <r>
    <s v="ORD1124"/>
    <x v="74"/>
    <s v="South"/>
    <s v="Clothing"/>
    <n v="41"/>
    <n v="50146"/>
    <n v="143.55000000000001"/>
    <n v="2"/>
    <n v="390.39"/>
    <n v="780.78"/>
    <n v="2"/>
  </r>
  <r>
    <s v="ORD1125"/>
    <x v="75"/>
    <s v="East"/>
    <s v="Home &amp; Kitchen"/>
    <n v="57"/>
    <n v="71992"/>
    <n v="61.94"/>
    <n v="5"/>
    <n v="114.91"/>
    <n v="574.54"/>
    <n v="1.7"/>
  </r>
  <r>
    <s v="ORD1126"/>
    <x v="75"/>
    <s v="South"/>
    <s v="Home &amp; Kitchen"/>
    <n v="25"/>
    <n v="22416"/>
    <n v="131.65"/>
    <n v="2"/>
    <n v="353.5"/>
    <n v="707"/>
    <n v="3"/>
  </r>
  <r>
    <s v="ORD1127"/>
    <x v="76"/>
    <s v="South"/>
    <s v="Clothing"/>
    <n v="29"/>
    <n v="51176"/>
    <n v="312.37"/>
    <n v="4"/>
    <n v="331.58"/>
    <n v="1326.3"/>
    <n v="3.8"/>
  </r>
  <r>
    <s v="ORD1128"/>
    <x v="77"/>
    <s v="West"/>
    <s v="Electronics"/>
    <n v="36"/>
    <n v="61649"/>
    <n v="239.64"/>
    <n v="4"/>
    <n v="257.42"/>
    <n v="1029.67"/>
    <n v="2.6"/>
  </r>
  <r>
    <s v="ORD1129"/>
    <x v="77"/>
    <s v="South"/>
    <s v="Electronics"/>
    <n v="30"/>
    <n v="15073"/>
    <n v="451.7"/>
    <n v="4"/>
    <n v="457.66"/>
    <n v="1830.65"/>
    <n v="3.3"/>
  </r>
  <r>
    <s v="ORD1130"/>
    <x v="78"/>
    <s v="South"/>
    <s v="Electronics"/>
    <n v="19"/>
    <n v="20098"/>
    <n v="417.85"/>
    <n v="6"/>
    <n v="258.83"/>
    <n v="1553.01"/>
    <n v="3.5"/>
  </r>
  <r>
    <s v="ORD1131"/>
    <x v="78"/>
    <s v="South"/>
    <s v="Electronics"/>
    <n v="36"/>
    <n v="15000"/>
    <n v="203.82"/>
    <n v="7"/>
    <n v="152.33000000000001"/>
    <n v="1066.3"/>
    <n v="2.5"/>
  </r>
  <r>
    <s v="ORD1132"/>
    <x v="79"/>
    <s v="West"/>
    <s v="Electronics"/>
    <n v="24"/>
    <n v="31739"/>
    <n v="166.74"/>
    <n v="6"/>
    <n v="133.38999999999999"/>
    <n v="800.36"/>
    <n v="2.2000000000000002"/>
  </r>
  <r>
    <s v="ORD1133"/>
    <x v="80"/>
    <s v="South"/>
    <s v="Electronics"/>
    <n v="40"/>
    <n v="2850000"/>
    <n v="220.86"/>
    <n v="1"/>
    <n v="862.29"/>
    <n v="862.29"/>
    <n v="3.2"/>
  </r>
  <r>
    <s v="ORD1134"/>
    <x v="80"/>
    <s v="North"/>
    <s v="Books"/>
    <n v="26"/>
    <n v="76971"/>
    <n v="315.63"/>
    <n v="4"/>
    <n v="322.56"/>
    <n v="1290.26"/>
    <n v="3.5"/>
  </r>
  <r>
    <s v="ORD1135"/>
    <x v="81"/>
    <s v="East"/>
    <s v="Clothing"/>
    <n v="50"/>
    <n v="37686"/>
    <n v="170.63"/>
    <n v="5"/>
    <n v="152.31"/>
    <n v="761.53"/>
    <n v="3.4"/>
  </r>
  <r>
    <s v="ORD1136"/>
    <x v="81"/>
    <s v="West"/>
    <s v="Electronics"/>
    <n v="27"/>
    <n v="81986"/>
    <n v="330.87"/>
    <n v="2"/>
    <n v="698.02"/>
    <n v="1396.04"/>
    <n v="2.4"/>
  </r>
  <r>
    <s v="ORD1137"/>
    <x v="82"/>
    <s v="North"/>
    <s v="Clothing"/>
    <n v="32"/>
    <n v="18214"/>
    <n v="234.24"/>
    <n v="7"/>
    <n v="138.19"/>
    <n v="967.36"/>
    <n v="2.5"/>
  </r>
  <r>
    <s v="ORD1138"/>
    <x v="83"/>
    <s v="North"/>
    <s v="Electronics"/>
    <n v="43"/>
    <n v="15496"/>
    <n v="298.42"/>
    <n v="3"/>
    <n v="396.42"/>
    <n v="1189.25"/>
    <n v="3.2"/>
  </r>
  <r>
    <s v="ORD1139"/>
    <x v="83"/>
    <s v="North"/>
    <s v="Clothing"/>
    <n v="23"/>
    <n v="35321"/>
    <n v="246.26"/>
    <n v="5"/>
    <n v="181.37"/>
    <n v="906.87"/>
    <n v="2.2000000000000002"/>
  </r>
  <r>
    <s v="ORD1140"/>
    <x v="84"/>
    <s v="South"/>
    <s v="Home &amp; Kitchen"/>
    <n v="37"/>
    <n v="44004"/>
    <n v="182.51"/>
    <n v="7"/>
    <n v="116.84"/>
    <n v="817.85"/>
    <n v="3.1"/>
  </r>
  <r>
    <s v="ORD1141"/>
    <x v="84"/>
    <s v="South"/>
    <s v="Clothing"/>
    <n v="48"/>
    <n v="35727"/>
    <n v="476.8"/>
    <n v="6"/>
    <n v="266.97000000000003"/>
    <n v="1601.85"/>
    <n v="4.0999999999999996"/>
  </r>
  <r>
    <s v="ORD1142"/>
    <x v="85"/>
    <s v="East"/>
    <s v="Clothing"/>
    <n v="19"/>
    <n v="15000"/>
    <n v="393.62"/>
    <n v="6"/>
    <n v="233.81"/>
    <n v="1402.87"/>
    <n v="2.9"/>
  </r>
  <r>
    <s v="ORD1143"/>
    <x v="86"/>
    <s v="East"/>
    <s v="Books"/>
    <n v="37"/>
    <n v="34733"/>
    <n v="113.05"/>
    <n v="5"/>
    <n v="138.52000000000001"/>
    <n v="692.59"/>
    <n v="2.6"/>
  </r>
  <r>
    <s v="ORD1144"/>
    <x v="86"/>
    <s v="East"/>
    <s v="Books"/>
    <n v="38"/>
    <n v="18916"/>
    <n v="440.81"/>
    <n v="6"/>
    <n v="290.58"/>
    <n v="1743.46"/>
    <n v="4.4000000000000004"/>
  </r>
  <r>
    <s v="ORD1145"/>
    <x v="87"/>
    <s v="South"/>
    <s v="Home &amp; Kitchen"/>
    <n v="43"/>
    <n v="50759"/>
    <n v="269.33999999999997"/>
    <n v="4"/>
    <n v="291.48"/>
    <n v="1165.92"/>
    <n v="4.0999999999999996"/>
  </r>
  <r>
    <s v="ORD1146"/>
    <x v="87"/>
    <s v="West"/>
    <s v="Clothing"/>
    <n v="23"/>
    <n v="43621"/>
    <n v="452.55"/>
    <n v="1"/>
    <n v="1640.8"/>
    <n v="1640.8"/>
    <n v="3.9"/>
  </r>
  <r>
    <s v="ORD1147"/>
    <x v="88"/>
    <s v="South"/>
    <s v="Home &amp; Kitchen"/>
    <n v="22"/>
    <n v="22699"/>
    <n v="409.93"/>
    <n v="2"/>
    <n v="788.98"/>
    <n v="1577.96"/>
    <n v="3.7"/>
  </r>
  <r>
    <s v="ORD1148"/>
    <x v="89"/>
    <s v="West"/>
    <s v="Electronics"/>
    <n v="40"/>
    <n v="28087"/>
    <n v="241.35"/>
    <n v="1"/>
    <n v="1042.03"/>
    <n v="1042.03"/>
    <n v="2.4"/>
  </r>
  <r>
    <s v="ORD1149"/>
    <x v="89"/>
    <s v="East"/>
    <s v="Clothing"/>
    <n v="38"/>
    <n v="21384"/>
    <n v="60.11"/>
    <n v="7"/>
    <n v="52.81"/>
    <n v="369.68"/>
    <n v="2.5"/>
  </r>
  <r>
    <s v="ORD1150"/>
    <x v="90"/>
    <s v="North"/>
    <s v="Electronics"/>
    <n v="38"/>
    <n v="35195"/>
    <n v="170.9"/>
    <n v="2"/>
    <n v="498.58"/>
    <n v="997.15"/>
    <n v="3.2"/>
  </r>
  <r>
    <s v="ORD1151"/>
    <x v="90"/>
    <s v="East"/>
    <s v="Clothing"/>
    <n v="38"/>
    <n v="58546"/>
    <n v="293.74"/>
    <n v="2"/>
    <n v="670.08"/>
    <n v="1340.16"/>
    <n v="3"/>
  </r>
  <r>
    <s v="ORD1152"/>
    <x v="91"/>
    <s v="South"/>
    <s v="Clothing"/>
    <n v="28"/>
    <n v="22184"/>
    <n v="335.07"/>
    <n v="1"/>
    <n v="1384.55"/>
    <n v="1384.55"/>
    <n v="2.8"/>
  </r>
  <r>
    <s v="ORD1153"/>
    <x v="92"/>
    <s v="East"/>
    <s v="Electronics"/>
    <n v="37"/>
    <n v="46724"/>
    <n v="166.05"/>
    <n v="5"/>
    <n v="172.7"/>
    <n v="863.51"/>
    <n v="1.9"/>
  </r>
  <r>
    <s v="ORD1154"/>
    <x v="92"/>
    <s v="North"/>
    <s v="Books"/>
    <n v="38"/>
    <n v="27858"/>
    <n v="112.71"/>
    <n v="2"/>
    <n v="353.67"/>
    <n v="707.34"/>
    <n v="1.5"/>
  </r>
  <r>
    <s v="ORD1155"/>
    <x v="93"/>
    <s v="North"/>
    <s v="Books"/>
    <n v="28"/>
    <n v="24430"/>
    <n v="425.72"/>
    <n v="1"/>
    <n v="1528.97"/>
    <n v="1528.97"/>
    <n v="2.2000000000000002"/>
  </r>
  <r>
    <s v="ORD1156"/>
    <x v="93"/>
    <s v="West"/>
    <s v="Home &amp; Kitchen"/>
    <n v="54"/>
    <n v="34423"/>
    <n v="492.98"/>
    <n v="2"/>
    <n v="943.88"/>
    <n v="1887.76"/>
    <n v="4"/>
  </r>
  <r>
    <s v="ORD1157"/>
    <x v="94"/>
    <s v="North"/>
    <s v="Clothing"/>
    <n v="40"/>
    <n v="21642"/>
    <n v="286.56"/>
    <n v="3"/>
    <n v="397.48"/>
    <n v="1192.43"/>
    <n v="3.1"/>
  </r>
  <r>
    <s v="ORD1158"/>
    <x v="95"/>
    <s v="West"/>
    <s v="Books"/>
    <n v="23"/>
    <n v="27534"/>
    <n v="127.26"/>
    <n v="5"/>
    <n v="131.41999999999999"/>
    <n v="657.1"/>
    <n v="2.2000000000000002"/>
  </r>
  <r>
    <s v="ORD1159"/>
    <x v="95"/>
    <s v="North"/>
    <s v="Electronics"/>
    <n v="42"/>
    <n v="19952"/>
    <n v="172.54"/>
    <n v="4"/>
    <n v="214.91"/>
    <n v="859.64"/>
    <n v="2.5"/>
  </r>
  <r>
    <s v="ORD1160"/>
    <x v="96"/>
    <s v="East"/>
    <s v="Home &amp; Kitchen"/>
    <n v="25"/>
    <n v="96990"/>
    <n v="58.28"/>
    <n v="2"/>
    <n v="330.16"/>
    <n v="660.31"/>
    <n v="2.7"/>
  </r>
  <r>
    <s v="ORD1161"/>
    <x v="96"/>
    <s v="East"/>
    <s v="Electronics"/>
    <n v="43"/>
    <n v="36961"/>
    <n v="461.43"/>
    <n v="3"/>
    <n v="619.28"/>
    <n v="1857.84"/>
    <n v="3.5"/>
  </r>
  <r>
    <s v="ORD1162"/>
    <x v="97"/>
    <s v="South"/>
    <s v="Home &amp; Kitchen"/>
    <n v="47"/>
    <n v="25595"/>
    <n v="102.99"/>
    <n v="4"/>
    <n v="153.47"/>
    <n v="613.87"/>
    <n v="1.7"/>
  </r>
  <r>
    <s v="ORD1163"/>
    <x v="98"/>
    <s v="South"/>
    <s v="Electronics"/>
    <n v="27"/>
    <n v="40416"/>
    <n v="309.43"/>
    <n v="4"/>
    <n v="341.5"/>
    <n v="1365.98"/>
    <n v="3.7"/>
  </r>
  <r>
    <s v="ORD1164"/>
    <x v="98"/>
    <s v="North"/>
    <s v="Books"/>
    <n v="45"/>
    <n v="34332"/>
    <n v="173.32"/>
    <n v="7"/>
    <n v="142.37"/>
    <n v="996.57"/>
    <n v="3"/>
  </r>
  <r>
    <s v="ORD1165"/>
    <x v="99"/>
    <s v="North"/>
    <s v="Books"/>
    <n v="39"/>
    <n v="32517"/>
    <n v="299.38"/>
    <n v="2"/>
    <n v="681"/>
    <n v="1361.99"/>
    <n v="3.3"/>
  </r>
  <r>
    <s v="ORD1166"/>
    <x v="99"/>
    <s v="South"/>
    <s v="Electronics"/>
    <n v="43"/>
    <n v="49369"/>
    <n v="343.14"/>
    <n v="1"/>
    <n v="1432.82"/>
    <n v="1432.82"/>
    <n v="3.7"/>
  </r>
  <r>
    <s v="ORD1167"/>
    <x v="100"/>
    <s v="East"/>
    <s v="Clothing"/>
    <n v="54"/>
    <n v="53037"/>
    <n v="423.38"/>
    <n v="2"/>
    <n v="816.53"/>
    <n v="1633.06"/>
    <n v="2.9"/>
  </r>
  <r>
    <s v="ORD1168"/>
    <x v="101"/>
    <s v="West"/>
    <s v="Books"/>
    <n v="33"/>
    <n v="27854"/>
    <n v="142.88999999999999"/>
    <n v="3"/>
    <n v="281.04000000000002"/>
    <n v="843.11"/>
    <n v="3.4"/>
  </r>
  <r>
    <s v="ORD1169"/>
    <x v="101"/>
    <s v="West"/>
    <s v="Clothing"/>
    <n v="27"/>
    <n v="27230"/>
    <n v="54.95"/>
    <n v="4"/>
    <n v="134.33000000000001"/>
    <n v="537.32000000000005"/>
    <n v="2.2999999999999998"/>
  </r>
  <r>
    <s v="ORD1170"/>
    <x v="102"/>
    <s v="East"/>
    <s v="Books"/>
    <n v="26"/>
    <n v="31649"/>
    <n v="111.6"/>
    <n v="2"/>
    <n v="379.37"/>
    <n v="758.74"/>
    <n v="3.1"/>
  </r>
  <r>
    <s v="ORD1171"/>
    <x v="102"/>
    <s v="East"/>
    <s v="Clothing"/>
    <n v="27"/>
    <n v="15000"/>
    <n v="455.01"/>
    <n v="1"/>
    <n v="1836.85"/>
    <n v="1836.85"/>
    <n v="4"/>
  </r>
  <r>
    <s v="ORD1172"/>
    <x v="103"/>
    <s v="East"/>
    <s v="Clothing"/>
    <n v="34"/>
    <n v="17024"/>
    <n v="443.25"/>
    <n v="7"/>
    <n v="261.77"/>
    <n v="1832.36"/>
    <n v="3"/>
  </r>
  <r>
    <s v="ORD1173"/>
    <x v="104"/>
    <s v="North"/>
    <s v="Electronics"/>
    <n v="38"/>
    <n v="71929"/>
    <n v="318.83999999999997"/>
    <n v="2"/>
    <n v="653.74"/>
    <n v="1307.47"/>
    <n v="3.4"/>
  </r>
  <r>
    <s v="ORD1174"/>
    <x v="104"/>
    <s v="West"/>
    <s v="Electronics"/>
    <n v="38"/>
    <n v="82659"/>
    <n v="320.23"/>
    <n v="5"/>
    <n v="292.02999999999997"/>
    <n v="1460.13"/>
    <n v="3.5"/>
  </r>
  <r>
    <s v="ORD1175"/>
    <x v="105"/>
    <s v="East"/>
    <s v="Home &amp; Kitchen"/>
    <n v="43"/>
    <n v="32064"/>
    <n v="349.27"/>
    <n v="7"/>
    <n v="209.07"/>
    <n v="1463.47"/>
    <n v="3.3"/>
  </r>
  <r>
    <s v="ORD1176"/>
    <x v="105"/>
    <s v="East"/>
    <s v="Clothing"/>
    <n v="35"/>
    <n v="48450"/>
    <n v="128.91999999999999"/>
    <n v="1"/>
    <n v="908.56"/>
    <n v="908.56"/>
    <n v="2.7"/>
  </r>
  <r>
    <s v="ORD1177"/>
    <x v="106"/>
    <s v="North"/>
    <s v="Clothing"/>
    <n v="50"/>
    <n v="42431"/>
    <n v="461.49"/>
    <n v="3"/>
    <n v="583.88"/>
    <n v="1751.63"/>
    <n v="3.5"/>
  </r>
  <r>
    <s v="ORD1178"/>
    <x v="107"/>
    <s v="South"/>
    <s v="Clothing"/>
    <n v="32"/>
    <n v="169302"/>
    <n v="238.45"/>
    <n v="4"/>
    <n v="307.98"/>
    <n v="1231.92"/>
    <n v="3.5"/>
  </r>
  <r>
    <s v="ORD1179"/>
    <x v="107"/>
    <s v="South"/>
    <s v="Clothing"/>
    <n v="62"/>
    <n v="63563"/>
    <n v="222.41"/>
    <n v="2"/>
    <n v="528.77"/>
    <n v="1057.54"/>
    <n v="3.2"/>
  </r>
  <r>
    <s v="ORD1180"/>
    <x v="108"/>
    <s v="West"/>
    <s v="Books"/>
    <n v="41"/>
    <n v="34066"/>
    <n v="283.51"/>
    <n v="1"/>
    <n v="1185.1199999999999"/>
    <n v="1185.1199999999999"/>
    <n v="3"/>
  </r>
  <r>
    <s v="ORD1181"/>
    <x v="108"/>
    <s v="South"/>
    <s v="Books"/>
    <n v="26"/>
    <n v="22522"/>
    <n v="71.13"/>
    <n v="7"/>
    <n v="74.13"/>
    <n v="518.91"/>
    <n v="1.5"/>
  </r>
  <r>
    <s v="ORD1182"/>
    <x v="109"/>
    <s v="South"/>
    <s v="Clothing"/>
    <n v="24"/>
    <n v="16265"/>
    <n v="124.83"/>
    <n v="5"/>
    <n v="140.77000000000001"/>
    <n v="703.83"/>
    <n v="2.9"/>
  </r>
  <r>
    <s v="ORD1183"/>
    <x v="110"/>
    <s v="West"/>
    <s v="Home &amp; Kitchen"/>
    <n v="40"/>
    <n v="40204"/>
    <n v="382.12"/>
    <n v="1"/>
    <n v="1586.72"/>
    <n v="1586.72"/>
    <n v="3.8"/>
  </r>
  <r>
    <s v="ORD1184"/>
    <x v="110"/>
    <s v="North"/>
    <s v="Home &amp; Kitchen"/>
    <n v="33"/>
    <n v="24880"/>
    <n v="87.26"/>
    <n v="6"/>
    <n v="108.51"/>
    <n v="651.05999999999995"/>
    <n v="3.9"/>
  </r>
  <r>
    <s v="ORD1185"/>
    <x v="111"/>
    <s v="South"/>
    <s v="Clothing"/>
    <n v="42"/>
    <n v="17834"/>
    <n v="321.42"/>
    <n v="5"/>
    <n v="262.52999999999997"/>
    <n v="1312.65"/>
    <n v="3.8"/>
  </r>
  <r>
    <s v="ORD1186"/>
    <x v="111"/>
    <s v="North"/>
    <s v="Books"/>
    <n v="40"/>
    <n v="26284"/>
    <n v="160.41"/>
    <n v="7"/>
    <n v="120.19"/>
    <n v="841.36"/>
    <n v="1.6"/>
  </r>
  <r>
    <s v="ORD1187"/>
    <x v="112"/>
    <s v="East"/>
    <s v="Electronics"/>
    <n v="34"/>
    <n v="21146"/>
    <n v="225.18"/>
    <n v="3"/>
    <n v="407.32"/>
    <n v="1221.96"/>
    <n v="3.1"/>
  </r>
  <r>
    <s v="ORD1188"/>
    <x v="113"/>
    <s v="West"/>
    <s v="Electronics"/>
    <n v="27"/>
    <n v="84421"/>
    <n v="179.91"/>
    <n v="4"/>
    <n v="260.98"/>
    <n v="1043.92"/>
    <n v="4"/>
  </r>
  <r>
    <s v="ORD1189"/>
    <x v="113"/>
    <s v="North"/>
    <s v="Books"/>
    <n v="20"/>
    <n v="56434"/>
    <n v="210.05"/>
    <n v="7"/>
    <n v="148.15"/>
    <n v="1037.07"/>
    <n v="3.2"/>
  </r>
  <r>
    <s v="ORD1190"/>
    <x v="114"/>
    <s v="West"/>
    <s v="Clothing"/>
    <n v="31"/>
    <n v="36171"/>
    <n v="373.57"/>
    <n v="3"/>
    <n v="509.49"/>
    <n v="1528.46"/>
    <n v="3.5"/>
  </r>
  <r>
    <s v="ORD1191"/>
    <x v="114"/>
    <s v="North"/>
    <s v="Home &amp; Kitchen"/>
    <n v="44"/>
    <n v="76113"/>
    <n v="183.7"/>
    <n v="2"/>
    <n v="463.72"/>
    <n v="927.44"/>
    <n v="3.3"/>
  </r>
  <r>
    <s v="ORD1192"/>
    <x v="115"/>
    <s v="West"/>
    <s v="Books"/>
    <n v="37"/>
    <n v="37748"/>
    <n v="304.88"/>
    <n v="1"/>
    <n v="1354.7"/>
    <n v="1354.7"/>
    <n v="2.8"/>
  </r>
  <r>
    <s v="ORD1193"/>
    <x v="116"/>
    <s v="East"/>
    <s v="Electronics"/>
    <n v="23"/>
    <n v="23608"/>
    <n v="264.22000000000003"/>
    <n v="6"/>
    <n v="182.28"/>
    <n v="1093.68"/>
    <n v="3.2"/>
  </r>
  <r>
    <s v="ORD1194"/>
    <x v="116"/>
    <s v="West"/>
    <s v="Books"/>
    <n v="37"/>
    <n v="77774"/>
    <n v="348.65"/>
    <n v="5"/>
    <n v="285.02"/>
    <n v="1425.09"/>
    <n v="3.1"/>
  </r>
  <r>
    <s v="ORD1195"/>
    <x v="117"/>
    <s v="North"/>
    <s v="Clothing"/>
    <n v="39"/>
    <n v="47546"/>
    <n v="471.57"/>
    <n v="5"/>
    <n v="341.11"/>
    <n v="1705.54"/>
    <n v="3.5"/>
  </r>
  <r>
    <s v="ORD1196"/>
    <x v="117"/>
    <s v="West"/>
    <s v="Clothing"/>
    <n v="26"/>
    <n v="21620"/>
    <n v="379.66"/>
    <n v="1"/>
    <n v="1576.85"/>
    <n v="1576.85"/>
    <n v="3.9"/>
  </r>
  <r>
    <s v="ORD1197"/>
    <x v="118"/>
    <s v="East"/>
    <s v="Home &amp; Kitchen"/>
    <n v="37"/>
    <n v="33019"/>
    <n v="146.72"/>
    <n v="6"/>
    <n v="141.88"/>
    <n v="851.28"/>
    <n v="2.1"/>
  </r>
  <r>
    <s v="ORD1198"/>
    <x v="119"/>
    <s v="South"/>
    <s v="Books"/>
    <n v="36"/>
    <n v="23440"/>
    <n v="64.03"/>
    <n v="1"/>
    <n v="496.24"/>
    <n v="496.24"/>
    <n v="3.1"/>
  </r>
  <r>
    <s v="ORD1199"/>
    <x v="119"/>
    <s v="West"/>
    <s v="Electronics"/>
    <n v="24"/>
    <n v="18190"/>
    <n v="168.02"/>
    <n v="2"/>
    <n v="496.79"/>
    <n v="993.58"/>
    <n v="2.6"/>
  </r>
  <r>
    <s v="ORD1200"/>
    <x v="120"/>
    <s v="North"/>
    <s v="Clothing"/>
    <n v="39"/>
    <n v="57704"/>
    <n v="317.79000000000002"/>
    <n v="3"/>
    <n v="436.29"/>
    <n v="1308.8699999999999"/>
    <n v="3.3"/>
  </r>
  <r>
    <s v="ORD1201"/>
    <x v="121"/>
    <s v="West"/>
    <s v="Home &amp; Kitchen"/>
    <n v="41"/>
    <n v="94345"/>
    <n v="73.14"/>
    <n v="7"/>
    <n v="72.41"/>
    <n v="506.9"/>
    <n v="1.5"/>
  </r>
  <r>
    <s v="ORD1202"/>
    <x v="121"/>
    <s v="North"/>
    <s v="Home &amp; Kitchen"/>
    <n v="46"/>
    <n v="18047"/>
    <n v="273.36"/>
    <n v="5"/>
    <n v="256.54000000000002"/>
    <n v="1282.71"/>
    <n v="3.5"/>
  </r>
  <r>
    <s v="ORD1203"/>
    <x v="122"/>
    <s v="East"/>
    <s v="Home &amp; Kitchen"/>
    <n v="46"/>
    <n v="48122"/>
    <n v="318.58"/>
    <n v="2"/>
    <n v="746.61"/>
    <n v="1493.22"/>
    <n v="4.2"/>
  </r>
  <r>
    <s v="ORD1204"/>
    <x v="122"/>
    <s v="South"/>
    <s v="Electronics"/>
    <n v="21"/>
    <n v="26231"/>
    <n v="200.41"/>
    <n v="3"/>
    <n v="388.68"/>
    <n v="1166.03"/>
    <n v="2.7"/>
  </r>
  <r>
    <s v="ORD1205"/>
    <x v="123"/>
    <s v="North"/>
    <s v="Electronics"/>
    <n v="26"/>
    <n v="28465"/>
    <n v="396.91"/>
    <n v="2"/>
    <n v="811.7"/>
    <n v="1623.4"/>
    <n v="2.7"/>
  </r>
  <r>
    <s v="ORD1206"/>
    <x v="124"/>
    <s v="North"/>
    <s v="Clothing"/>
    <n v="40"/>
    <n v="27006"/>
    <n v="97.97"/>
    <n v="6"/>
    <n v="131.63"/>
    <n v="789.8"/>
    <n v="2.8"/>
  </r>
  <r>
    <s v="ORD1207"/>
    <x v="124"/>
    <s v="North"/>
    <s v="Home &amp; Kitchen"/>
    <n v="40"/>
    <n v="23576"/>
    <n v="83.81"/>
    <n v="5"/>
    <n v="131.02000000000001"/>
    <n v="655.11"/>
    <n v="3.4"/>
  </r>
  <r>
    <s v="ORD1208"/>
    <x v="125"/>
    <s v="South"/>
    <s v="Electronics"/>
    <n v="40"/>
    <n v="37207"/>
    <n v="377.68"/>
    <n v="7"/>
    <n v="226.4"/>
    <n v="1584.77"/>
    <n v="2.5"/>
  </r>
  <r>
    <s v="ORD1209"/>
    <x v="125"/>
    <s v="South"/>
    <s v="Electronics"/>
    <n v="70"/>
    <n v="23969"/>
    <n v="272.97000000000003"/>
    <n v="1"/>
    <n v="1334.2"/>
    <n v="1334.2"/>
    <n v="2.5"/>
  </r>
  <r>
    <s v="ORD1210"/>
    <x v="126"/>
    <s v="East"/>
    <s v="Books"/>
    <n v="41"/>
    <n v="41574"/>
    <n v="359.78"/>
    <n v="35"/>
    <n v="1593.48"/>
    <n v="3950"/>
    <n v="3.1"/>
  </r>
  <r>
    <s v="ORD1211"/>
    <x v="127"/>
    <s v="North"/>
    <s v="Electronics"/>
    <n v="46"/>
    <n v="35415"/>
    <n v="245.67"/>
    <n v="3"/>
    <n v="350.01"/>
    <n v="1050.03"/>
    <n v="2.4"/>
  </r>
  <r>
    <s v="ORD1212"/>
    <x v="127"/>
    <s v="North"/>
    <s v="Books"/>
    <n v="45"/>
    <n v="32226"/>
    <n v="160.88"/>
    <n v="7"/>
    <n v="146.13"/>
    <n v="1022.94"/>
    <n v="2.4"/>
  </r>
  <r>
    <s v="ORD1213"/>
    <x v="128"/>
    <s v="East"/>
    <s v="Home &amp; Kitchen"/>
    <n v="42"/>
    <n v="23068"/>
    <n v="418.6"/>
    <n v="4"/>
    <n v="459.98"/>
    <n v="1839.93"/>
    <n v="2.2999999999999998"/>
  </r>
  <r>
    <s v="ORD1214"/>
    <x v="128"/>
    <s v="North"/>
    <s v="Home &amp; Kitchen"/>
    <n v="32"/>
    <n v="27217"/>
    <n v="409.74"/>
    <n v="6"/>
    <n v="275.19"/>
    <n v="1651.12"/>
    <n v="3.8"/>
  </r>
  <r>
    <s v="ORD1215"/>
    <x v="129"/>
    <s v="West"/>
    <s v="Electronics"/>
    <n v="43"/>
    <n v="52981"/>
    <n v="362.61"/>
    <n v="3"/>
    <n v="527.34"/>
    <n v="1582.02"/>
    <n v="3.6"/>
  </r>
  <r>
    <s v="ORD1216"/>
    <x v="130"/>
    <s v="West"/>
    <s v="Electronics"/>
    <n v="27"/>
    <n v="46651"/>
    <n v="172.47"/>
    <n v="4"/>
    <n v="245.36"/>
    <n v="981.43"/>
    <n v="1.8"/>
  </r>
  <r>
    <s v="ORD1217"/>
    <x v="130"/>
    <s v="East"/>
    <s v="Home &amp; Kitchen"/>
    <n v="33"/>
    <n v="22275"/>
    <n v="315.60000000000002"/>
    <n v="2"/>
    <n v="710.38"/>
    <n v="1420.77"/>
    <n v="4.0999999999999996"/>
  </r>
  <r>
    <s v="ORD1218"/>
    <x v="131"/>
    <s v="East"/>
    <s v="Home &amp; Kitchen"/>
    <n v="30"/>
    <n v="38165"/>
    <n v="212.44"/>
    <n v="6"/>
    <n v="170.96"/>
    <n v="1025.78"/>
    <n v="3.9"/>
  </r>
  <r>
    <s v="ORD1219"/>
    <x v="131"/>
    <s v="West"/>
    <s v="Home &amp; Kitchen"/>
    <n v="36"/>
    <n v="52875"/>
    <n v="91.21"/>
    <n v="2"/>
    <n v="314.07"/>
    <n v="628.14"/>
    <n v="2"/>
  </r>
  <r>
    <s v="ORD1220"/>
    <x v="132"/>
    <s v="North"/>
    <s v="Electronics"/>
    <n v="58"/>
    <n v="15761"/>
    <n v="462.79"/>
    <n v="7"/>
    <n v="266.98"/>
    <n v="1868.88"/>
    <n v="4.3"/>
  </r>
  <r>
    <s v="ORD1221"/>
    <x v="133"/>
    <s v="North"/>
    <s v="Home &amp; Kitchen"/>
    <n v="18"/>
    <n v="47652"/>
    <n v="111.57"/>
    <n v="5"/>
    <n v="168.17"/>
    <n v="840.84"/>
    <n v="2.2999999999999998"/>
  </r>
  <r>
    <s v="ORD1222"/>
    <x v="133"/>
    <s v="North"/>
    <s v="Home &amp; Kitchen"/>
    <n v="42"/>
    <n v="26074"/>
    <n v="477.61"/>
    <n v="6"/>
    <n v="326.97000000000003"/>
    <n v="1961.84"/>
    <n v="3.8"/>
  </r>
  <r>
    <s v="ORD1223"/>
    <x v="134"/>
    <s v="East"/>
    <s v="Home &amp; Kitchen"/>
    <n v="19"/>
    <n v="48305"/>
    <n v="250.7"/>
    <n v="4"/>
    <n v="290.64999999999998"/>
    <n v="1162.5899999999999"/>
    <n v="2.5"/>
  </r>
  <r>
    <s v="ORD1224"/>
    <x v="134"/>
    <s v="North"/>
    <s v="Home &amp; Kitchen"/>
    <n v="30"/>
    <n v="24794"/>
    <n v="133.31"/>
    <n v="5"/>
    <n v="175.67"/>
    <n v="878.33"/>
    <n v="4.0999999999999996"/>
  </r>
  <r>
    <s v="ORD1225"/>
    <x v="135"/>
    <s v="East"/>
    <s v="Home &amp; Kitchen"/>
    <n v="46"/>
    <n v="15000"/>
    <n v="293.86"/>
    <n v="1"/>
    <n v="1102.47"/>
    <n v="1102.47"/>
    <n v="2.8"/>
  </r>
  <r>
    <s v="ORD1226"/>
    <x v="136"/>
    <s v="West"/>
    <s v="Home &amp; Kitchen"/>
    <n v="36"/>
    <n v="16094"/>
    <n v="442.83"/>
    <n v="4"/>
    <n v="474.74"/>
    <n v="1898.96"/>
    <n v="3.7"/>
  </r>
  <r>
    <s v="ORD1227"/>
    <x v="136"/>
    <s v="West"/>
    <s v="Electronics"/>
    <n v="24"/>
    <n v="37199"/>
    <n v="379.5"/>
    <n v="3"/>
    <n v="488.41"/>
    <n v="1465.22"/>
    <n v="2.8"/>
  </r>
  <r>
    <s v="ORD1228"/>
    <x v="137"/>
    <s v="South"/>
    <s v="Clothing"/>
    <n v="28"/>
    <n v="41351"/>
    <n v="412.95"/>
    <n v="1"/>
    <n v="1682.44"/>
    <n v="1682.44"/>
    <n v="4.5999999999999996"/>
  </r>
  <r>
    <s v="ORD1229"/>
    <x v="137"/>
    <s v="North"/>
    <s v="Electronics"/>
    <n v="42"/>
    <n v="23106"/>
    <n v="346.45"/>
    <n v="1"/>
    <n v="1409.07"/>
    <n v="1409.07"/>
    <n v="4.3"/>
  </r>
  <r>
    <s v="ORD1230"/>
    <x v="138"/>
    <s v="West"/>
    <s v="Clothing"/>
    <n v="28"/>
    <n v="49976"/>
    <n v="361.52"/>
    <n v="3"/>
    <n v="481.1"/>
    <n v="1443.29"/>
    <n v="4.2"/>
  </r>
  <r>
    <s v="ORD1231"/>
    <x v="139"/>
    <s v="East"/>
    <s v="Clothing"/>
    <n v="37"/>
    <n v="15823"/>
    <n v="432.14"/>
    <n v="6"/>
    <n v="310.95"/>
    <n v="1865.71"/>
    <n v="4.2"/>
  </r>
  <r>
    <s v="ORD1232"/>
    <x v="139"/>
    <s v="North"/>
    <s v="Electronics"/>
    <n v="35"/>
    <n v="35135"/>
    <n v="162.35"/>
    <n v="1"/>
    <n v="872.1"/>
    <n v="872.1"/>
    <n v="2.2999999999999998"/>
  </r>
  <r>
    <s v="ORD1233"/>
    <x v="140"/>
    <s v="North"/>
    <s v="Electronics"/>
    <n v="28"/>
    <n v="19821"/>
    <n v="270.24"/>
    <n v="7"/>
    <n v="183.21"/>
    <n v="1282.49"/>
    <n v="3.6"/>
  </r>
  <r>
    <s v="ORD1234"/>
    <x v="140"/>
    <s v="West"/>
    <s v="Electronics"/>
    <n v="56"/>
    <n v="26215"/>
    <n v="149.54"/>
    <n v="4"/>
    <n v="216.19"/>
    <n v="864.77"/>
    <n v="2.7"/>
  </r>
  <r>
    <s v="ORD1235"/>
    <x v="141"/>
    <s v="East"/>
    <s v="Home &amp; Kitchen"/>
    <n v="41"/>
    <n v="37186"/>
    <n v="494.45"/>
    <n v="5"/>
    <n v="402.08"/>
    <n v="2010.4"/>
    <n v="4.5"/>
  </r>
  <r>
    <s v="ORD1236"/>
    <x v="142"/>
    <s v="West"/>
    <s v="Books"/>
    <n v="18"/>
    <n v="23619"/>
    <n v="474.83"/>
    <n v="1"/>
    <n v="1915.6"/>
    <n v="1915.6"/>
    <n v="4.3"/>
  </r>
  <r>
    <s v="ORD1237"/>
    <x v="142"/>
    <s v="West"/>
    <s v="Electronics"/>
    <n v="37"/>
    <n v="29963"/>
    <n v="67.739999999999995"/>
    <n v="4"/>
    <n v="126.03"/>
    <n v="504.13"/>
    <n v="2"/>
  </r>
  <r>
    <s v="ORD1238"/>
    <x v="143"/>
    <s v="East"/>
    <s v="Books"/>
    <n v="28"/>
    <n v="60063"/>
    <n v="367.51"/>
    <n v="2"/>
    <n v="822.86"/>
    <n v="1645.73"/>
    <n v="4"/>
  </r>
  <r>
    <s v="ORD1239"/>
    <x v="143"/>
    <s v="South"/>
    <s v="Clothing"/>
    <n v="44"/>
    <n v="27216"/>
    <n v="466.36"/>
    <n v="4"/>
    <n v="460.71"/>
    <n v="1842.85"/>
    <n v="4"/>
  </r>
  <r>
    <s v="ORD1240"/>
    <x v="144"/>
    <s v="South"/>
    <s v="Electronics"/>
    <n v="27"/>
    <n v="55152"/>
    <n v="131.26"/>
    <n v="5"/>
    <n v="137.1"/>
    <n v="685.51"/>
    <n v="1"/>
  </r>
  <r>
    <s v="ORD1241"/>
    <x v="145"/>
    <s v="South"/>
    <s v="Electronics"/>
    <n v="34"/>
    <n v="20643"/>
    <n v="305.58"/>
    <n v="4"/>
    <n v="333.4"/>
    <n v="1333.61"/>
    <n v="3.6"/>
  </r>
  <r>
    <s v="ORD1242"/>
    <x v="145"/>
    <s v="South"/>
    <s v="Clothing"/>
    <n v="40"/>
    <n v="47330"/>
    <n v="461.97"/>
    <n v="3"/>
    <n v="662.79"/>
    <n v="1988.36"/>
    <n v="3.5"/>
  </r>
  <r>
    <s v="ORD1243"/>
    <x v="146"/>
    <s v="East"/>
    <s v="Home &amp; Kitchen"/>
    <n v="44"/>
    <n v="74666"/>
    <n v="65.28"/>
    <n v="5"/>
    <n v="133.38"/>
    <n v="666.91"/>
    <n v="2"/>
  </r>
  <r>
    <s v="ORD1244"/>
    <x v="146"/>
    <s v="East"/>
    <s v="Home &amp; Kitchen"/>
    <n v="23"/>
    <n v="15000"/>
    <n v="363.84"/>
    <n v="6"/>
    <n v="254.4"/>
    <n v="1526.4"/>
    <n v="2.8"/>
  </r>
  <r>
    <s v="ORD1245"/>
    <x v="147"/>
    <s v="West"/>
    <s v="Electronics"/>
    <n v="32"/>
    <n v="24381"/>
    <n v="183.81"/>
    <n v="2"/>
    <n v="475.12"/>
    <n v="950.25"/>
    <n v="2.7"/>
  </r>
  <r>
    <s v="ORD1246"/>
    <x v="148"/>
    <s v="South"/>
    <s v="Electronics"/>
    <n v="30"/>
    <n v="48462"/>
    <n v="465.98"/>
    <n v="3"/>
    <n v="618.47"/>
    <n v="1855.41"/>
    <n v="3.9"/>
  </r>
  <r>
    <s v="ORD1247"/>
    <x v="148"/>
    <s v="East"/>
    <s v="Clothing"/>
    <n v="28"/>
    <n v="32810"/>
    <n v="486.98"/>
    <n v="6"/>
    <n v="352.41"/>
    <n v="2114.48"/>
    <n v="3"/>
  </r>
  <r>
    <s v="ORD1248"/>
    <x v="149"/>
    <s v="East"/>
    <s v="Electronics"/>
    <n v="53"/>
    <n v="43721"/>
    <n v="474.92"/>
    <n v="4"/>
    <n v="485.08"/>
    <n v="1940.3"/>
    <n v="3.8"/>
  </r>
  <r>
    <s v="ORD1249"/>
    <x v="149"/>
    <s v="East"/>
    <s v="Electronics"/>
    <n v="39"/>
    <n v="26850"/>
    <n v="263.39999999999998"/>
    <n v="5"/>
    <n v="253.46"/>
    <n v="1267.28"/>
    <n v="3.4"/>
  </r>
  <r>
    <s v="ORD1250"/>
    <x v="150"/>
    <s v="East"/>
    <s v="Electronics"/>
    <n v="22"/>
    <n v="37922"/>
    <n v="437.92"/>
    <n v="2"/>
    <n v="936.88"/>
    <n v="1873.77"/>
    <n v="4.8"/>
  </r>
  <r>
    <s v="ORD1251"/>
    <x v="151"/>
    <s v="North"/>
    <s v="Home &amp; Kitchen"/>
    <n v="44"/>
    <n v="33596"/>
    <n v="430.05"/>
    <n v="3"/>
    <n v="615.09"/>
    <n v="1845.26"/>
    <n v="3"/>
  </r>
  <r>
    <s v="ORD1252"/>
    <x v="151"/>
    <s v="South"/>
    <s v="Books"/>
    <n v="56"/>
    <n v="65114"/>
    <n v="193.6"/>
    <n v="6"/>
    <n v="174.8"/>
    <n v="1048.8"/>
    <n v="2.7"/>
  </r>
  <r>
    <s v="ORD1253"/>
    <x v="152"/>
    <s v="North"/>
    <s v="Clothing"/>
    <n v="45"/>
    <n v="41242"/>
    <n v="423.01"/>
    <n v="6"/>
    <n v="297.99"/>
    <n v="1787.92"/>
    <n v="3.7"/>
  </r>
  <r>
    <s v="ORD1254"/>
    <x v="152"/>
    <s v="South"/>
    <s v="Books"/>
    <n v="20"/>
    <n v="42993"/>
    <n v="66.650000000000006"/>
    <n v="2"/>
    <n v="328.78"/>
    <n v="657.55"/>
    <n v="3.2"/>
  </r>
  <r>
    <s v="ORD1255"/>
    <x v="153"/>
    <s v="South"/>
    <s v="Electronics"/>
    <n v="30"/>
    <n v="29557"/>
    <n v="318.32"/>
    <n v="7"/>
    <n v="209.38"/>
    <n v="1465.65"/>
    <n v="3.1"/>
  </r>
  <r>
    <s v="ORD1256"/>
    <x v="154"/>
    <s v="East"/>
    <s v="Clothing"/>
    <n v="48"/>
    <n v="28458"/>
    <n v="153.5"/>
    <n v="4"/>
    <n v="249.85"/>
    <n v="999.41"/>
    <n v="3.6"/>
  </r>
  <r>
    <s v="ORD1257"/>
    <x v="154"/>
    <s v="West"/>
    <s v="Electronics"/>
    <n v="28"/>
    <n v="29253"/>
    <n v="104.26"/>
    <n v="2"/>
    <n v="393.9"/>
    <n v="787.79"/>
    <n v="1.5"/>
  </r>
  <r>
    <s v="ORD1258"/>
    <x v="155"/>
    <s v="East"/>
    <s v="Home &amp; Kitchen"/>
    <n v="39"/>
    <n v="44233"/>
    <n v="84.63"/>
    <n v="6"/>
    <n v="129.9"/>
    <n v="779.43"/>
    <n v="1.9"/>
  </r>
  <r>
    <s v="ORD1259"/>
    <x v="155"/>
    <s v="East"/>
    <s v="Books"/>
    <n v="43"/>
    <n v="29422"/>
    <n v="363.33"/>
    <n v="1"/>
    <n v="1606.2"/>
    <n v="1606.2"/>
    <n v="3.6"/>
  </r>
  <r>
    <s v="ORD1260"/>
    <x v="156"/>
    <s v="South"/>
    <s v="Home &amp; Kitchen"/>
    <n v="26"/>
    <n v="41977"/>
    <n v="202.94"/>
    <n v="3"/>
    <n v="368.57"/>
    <n v="1105.7"/>
    <n v="2.1"/>
  </r>
  <r>
    <s v="ORD1261"/>
    <x v="157"/>
    <s v="East"/>
    <s v="Clothing"/>
    <n v="34"/>
    <n v="102508"/>
    <n v="376.15"/>
    <n v="2"/>
    <n v="746.91"/>
    <n v="1493.82"/>
    <n v="2.6"/>
  </r>
  <r>
    <s v="ORD1262"/>
    <x v="157"/>
    <s v="North"/>
    <s v="Home &amp; Kitchen"/>
    <n v="18"/>
    <n v="56138"/>
    <n v="79.41"/>
    <n v="7"/>
    <n v="111.06"/>
    <n v="777.42"/>
    <n v="2.2999999999999998"/>
  </r>
  <r>
    <s v="ORD1263"/>
    <x v="158"/>
    <s v="North"/>
    <s v="Electronics"/>
    <n v="25"/>
    <n v="30853"/>
    <n v="191.88"/>
    <n v="6"/>
    <n v="181.96"/>
    <n v="1091.74"/>
    <n v="3.4"/>
  </r>
  <r>
    <s v="ORD1264"/>
    <x v="158"/>
    <s v="South"/>
    <s v="Books"/>
    <n v="32"/>
    <n v="66211"/>
    <n v="292.77"/>
    <n v="4"/>
    <n v="366.68"/>
    <n v="1466.7"/>
    <n v="2.1"/>
  </r>
  <r>
    <s v="ORD1265"/>
    <x v="159"/>
    <s v="South"/>
    <s v="Clothing"/>
    <n v="23"/>
    <n v="29613"/>
    <n v="405.83"/>
    <n v="6"/>
    <n v="252.83"/>
    <n v="1516.96"/>
    <n v="3.4"/>
  </r>
  <r>
    <s v="ORD1266"/>
    <x v="160"/>
    <s v="North"/>
    <s v="Clothing"/>
    <n v="51"/>
    <n v="15000"/>
    <n v="193.44"/>
    <n v="4"/>
    <n v="309.02"/>
    <n v="1236.08"/>
    <n v="3.7"/>
  </r>
  <r>
    <s v="ORD1267"/>
    <x v="160"/>
    <s v="North"/>
    <s v="Clothing"/>
    <n v="21"/>
    <n v="21938"/>
    <n v="331.65"/>
    <n v="2"/>
    <n v="750.06"/>
    <n v="1500.11"/>
    <n v="3.2"/>
  </r>
  <r>
    <s v="ORD1268"/>
    <x v="161"/>
    <s v="North"/>
    <s v="Home &amp; Kitchen"/>
    <n v="31"/>
    <n v="15000"/>
    <n v="448.69"/>
    <n v="4"/>
    <n v="493.62"/>
    <n v="1974.46"/>
    <n v="3.5"/>
  </r>
  <r>
    <s v="ORD1269"/>
    <x v="161"/>
    <s v="West"/>
    <s v="Electronics"/>
    <n v="36"/>
    <n v="30462"/>
    <n v="327.14"/>
    <n v="5"/>
    <n v="282.73"/>
    <n v="1413.66"/>
    <n v="3.5"/>
  </r>
  <r>
    <s v="ORD1270"/>
    <x v="162"/>
    <s v="South"/>
    <s v="Home &amp; Kitchen"/>
    <n v="49"/>
    <n v="36651"/>
    <n v="154.83000000000001"/>
    <n v="5"/>
    <n v="198.9"/>
    <n v="994.48"/>
    <n v="2.7"/>
  </r>
  <r>
    <s v="ORD1271"/>
    <x v="163"/>
    <s v="South"/>
    <s v="Electronics"/>
    <n v="21"/>
    <n v="83970"/>
    <n v="60.98"/>
    <n v="5"/>
    <n v="112.17"/>
    <n v="560.86"/>
    <n v="3.3"/>
  </r>
  <r>
    <s v="ORD1272"/>
    <x v="163"/>
    <s v="North"/>
    <s v="Home &amp; Kitchen"/>
    <n v="47"/>
    <n v="42765"/>
    <n v="441.54"/>
    <n v="7"/>
    <n v="259"/>
    <n v="1813.03"/>
    <n v="2.9"/>
  </r>
  <r>
    <s v="ORD1273"/>
    <x v="164"/>
    <s v="East"/>
    <s v="Home &amp; Kitchen"/>
    <n v="35"/>
    <n v="32547"/>
    <n v="59.57"/>
    <n v="7"/>
    <n v="113.39"/>
    <n v="793.75"/>
    <n v="2.6"/>
  </r>
  <r>
    <s v="ORD1274"/>
    <x v="164"/>
    <s v="North"/>
    <s v="Home &amp; Kitchen"/>
    <n v="25"/>
    <n v="54979"/>
    <n v="443.62"/>
    <n v="1"/>
    <n v="1854.33"/>
    <n v="1854.33"/>
    <n v="3.7"/>
  </r>
  <r>
    <s v="ORD1275"/>
    <x v="165"/>
    <s v="North"/>
    <s v="Clothing"/>
    <n v="40"/>
    <n v="15000"/>
    <n v="288.02"/>
    <n v="7"/>
    <n v="198.44"/>
    <n v="1389.06"/>
    <n v="3"/>
  </r>
  <r>
    <s v="ORD1276"/>
    <x v="166"/>
    <s v="South"/>
    <s v="Clothing"/>
    <n v="37"/>
    <n v="40856"/>
    <n v="472.58"/>
    <n v="2"/>
    <n v="1015.93"/>
    <n v="2031.86"/>
    <n v="2.1"/>
  </r>
  <r>
    <s v="ORD1277"/>
    <x v="166"/>
    <s v="North"/>
    <s v="Electronics"/>
    <n v="29"/>
    <n v="53393"/>
    <n v="409.45"/>
    <n v="6"/>
    <n v="299.98"/>
    <n v="1799.89"/>
    <n v="3.5"/>
  </r>
  <r>
    <s v="ORD1278"/>
    <x v="167"/>
    <s v="North"/>
    <s v="Home &amp; Kitchen"/>
    <n v="36"/>
    <n v="17339"/>
    <n v="499.07"/>
    <n v="6"/>
    <n v="343.18"/>
    <n v="2059.06"/>
    <n v="4.3"/>
  </r>
  <r>
    <s v="ORD1279"/>
    <x v="167"/>
    <s v="North"/>
    <s v="Electronics"/>
    <n v="31"/>
    <n v="64336"/>
    <n v="207.82"/>
    <n v="1"/>
    <n v="1144.22"/>
    <n v="1144.22"/>
    <n v="3.4"/>
  </r>
  <r>
    <s v="ORD1280"/>
    <x v="168"/>
    <s v="North"/>
    <s v="Clothing"/>
    <n v="36"/>
    <n v="43013"/>
    <n v="395.23"/>
    <n v="7"/>
    <n v="272.43"/>
    <n v="1907.01"/>
    <n v="3.9"/>
  </r>
  <r>
    <s v="ORD1281"/>
    <x v="169"/>
    <s v="North"/>
    <s v="Electronics"/>
    <n v="42"/>
    <n v="29506"/>
    <n v="230.87"/>
    <n v="4"/>
    <n v="296.04000000000002"/>
    <n v="1184.17"/>
    <n v="2.2999999999999998"/>
  </r>
  <r>
    <s v="ORD1282"/>
    <x v="169"/>
    <s v="South"/>
    <s v="Electronics"/>
    <n v="51"/>
    <n v="49831"/>
    <n v="265.94"/>
    <n v="1"/>
    <n v="1317.1"/>
    <n v="1317.1"/>
    <n v="3.4"/>
  </r>
  <r>
    <s v="ORD1283"/>
    <x v="170"/>
    <s v="West"/>
    <s v="Home &amp; Kitchen"/>
    <n v="23"/>
    <n v="113023"/>
    <n v="332.38"/>
    <n v="4"/>
    <n v="399.42"/>
    <n v="1597.67"/>
    <n v="3"/>
  </r>
  <r>
    <s v="ORD1284"/>
    <x v="170"/>
    <s v="East"/>
    <s v="Electronics"/>
    <n v="56"/>
    <n v="39773"/>
    <n v="443.15"/>
    <n v="4"/>
    <n v="489.13"/>
    <n v="1956.52"/>
    <n v="3.9"/>
  </r>
  <r>
    <s v="ORD1285"/>
    <x v="171"/>
    <s v="South"/>
    <s v="Home &amp; Kitchen"/>
    <n v="18"/>
    <n v="41114"/>
    <n v="492.84"/>
    <n v="3"/>
    <n v="707.35"/>
    <n v="2122.0500000000002"/>
    <n v="3.9"/>
  </r>
  <r>
    <s v="ORD1286"/>
    <x v="172"/>
    <s v="North"/>
    <s v="Electronics"/>
    <n v="33"/>
    <n v="28863"/>
    <n v="395.72"/>
    <n v="6"/>
    <n v="294.57"/>
    <n v="1767.4"/>
    <n v="3"/>
  </r>
  <r>
    <s v="ORD1287"/>
    <x v="172"/>
    <s v="West"/>
    <s v="Electronics"/>
    <n v="41"/>
    <n v="23744"/>
    <n v="238"/>
    <n v="5"/>
    <n v="224.03"/>
    <n v="1120.1600000000001"/>
    <n v="2.4"/>
  </r>
  <r>
    <s v="ORD1288"/>
    <x v="173"/>
    <s v="South"/>
    <s v="Clothing"/>
    <n v="38"/>
    <n v="55004"/>
    <n v="239.61"/>
    <n v="7"/>
    <n v="192.49"/>
    <n v="1347.43"/>
    <n v="3.4"/>
  </r>
  <r>
    <s v="ORD1289"/>
    <x v="173"/>
    <s v="North"/>
    <s v="Electronics"/>
    <n v="29"/>
    <n v="23670"/>
    <n v="381.91"/>
    <n v="4"/>
    <n v="395.1"/>
    <n v="1580.4"/>
    <n v="3.2"/>
  </r>
  <r>
    <s v="ORD1290"/>
    <x v="174"/>
    <s v="East"/>
    <s v="Electronics"/>
    <n v="33"/>
    <n v="37639"/>
    <n v="157.44999999999999"/>
    <n v="3"/>
    <n v="326.02"/>
    <n v="978.05"/>
    <n v="2.2999999999999998"/>
  </r>
  <r>
    <s v="ORD1291"/>
    <x v="175"/>
    <s v="North"/>
    <s v="Home &amp; Kitchen"/>
    <n v="30"/>
    <n v="28600"/>
    <n v="99.71"/>
    <n v="6"/>
    <n v="118.12"/>
    <n v="708.73"/>
    <n v="2"/>
  </r>
  <r>
    <s v="ORD1292"/>
    <x v="175"/>
    <s v="South"/>
    <s v="Electronics"/>
    <n v="29"/>
    <n v="46143"/>
    <n v="209.58"/>
    <n v="5"/>
    <n v="223.1"/>
    <n v="1115.52"/>
    <n v="2.8"/>
  </r>
  <r>
    <s v="ORD1293"/>
    <x v="176"/>
    <s v="South"/>
    <s v="Home &amp; Kitchen"/>
    <n v="43"/>
    <n v="42909"/>
    <n v="179.26"/>
    <n v="4"/>
    <n v="262.48"/>
    <n v="1049.93"/>
    <n v="3.8"/>
  </r>
  <r>
    <s v="ORD1294"/>
    <x v="176"/>
    <s v="West"/>
    <s v="Electronics"/>
    <n v="39"/>
    <n v="61009"/>
    <n v="183.34"/>
    <n v="4"/>
    <n v="265.60000000000002"/>
    <n v="1062.4000000000001"/>
    <n v="2.6"/>
  </r>
  <r>
    <s v="ORD1295"/>
    <x v="177"/>
    <s v="South"/>
    <s v="Electronics"/>
    <n v="28"/>
    <n v="28141"/>
    <n v="155.12"/>
    <n v="1"/>
    <n v="980.14"/>
    <n v="980.14"/>
    <n v="2.8"/>
  </r>
  <r>
    <s v="ORD1296"/>
    <x v="178"/>
    <s v="East"/>
    <s v="Home &amp; Kitchen"/>
    <n v="44"/>
    <n v="31731"/>
    <n v="68.94"/>
    <n v="1"/>
    <n v="799.7"/>
    <n v="799.7"/>
    <n v="2.7"/>
  </r>
  <r>
    <s v="ORD1297"/>
    <x v="178"/>
    <s v="West"/>
    <s v="Electronics"/>
    <n v="38"/>
    <n v="22262"/>
    <n v="58.04"/>
    <n v="6"/>
    <n v="112"/>
    <n v="672.01"/>
    <n v="1.9"/>
  </r>
  <r>
    <s v="ORD1298"/>
    <x v="179"/>
    <s v="North"/>
    <s v="Electronics"/>
    <n v="43"/>
    <n v="29081"/>
    <n v="494.48"/>
    <n v="5"/>
    <n v="402.56"/>
    <n v="2012.8"/>
    <n v="2.7"/>
  </r>
  <r>
    <s v="ORD1299"/>
    <x v="180"/>
    <s v="North"/>
    <s v="Clothing"/>
    <n v="41"/>
    <n v="43855"/>
    <n v="242.5"/>
    <n v="4"/>
    <n v="325.77999999999997"/>
    <n v="1303.1300000000001"/>
    <n v="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4C7EB-ACB9-491C-959B-5AE5C73B43FF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O27:P34" firstHeaderRow="1" firstDataRow="1" firstDataCol="1"/>
  <pivotFields count="12">
    <pivotField showAll="0"/>
    <pivotField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ales" fld="9" baseField="0" baseItem="0"/>
  </dataFields>
  <formats count="10">
    <format dxfId="0">
      <pivotArea field="1" type="button" dataOnly="0" labelOnly="1" outline="0"/>
    </format>
    <format dxfId="1">
      <pivotArea dataOnly="0" labelOnly="1" grandRow="1" outline="0" fieldPosition="0"/>
    </format>
    <format dxfId="2">
      <pivotArea field="11" type="button" dataOnly="0" labelOnly="1" outline="0" axis="axisRow" fieldPosition="0"/>
    </format>
    <format dxfId="3">
      <pivotArea field="11" type="button" dataOnly="0" labelOnly="1" outline="0" axis="axisRow" fieldPosition="0"/>
    </format>
    <format dxfId="4">
      <pivotArea dataOnly="0" labelOnly="1" outline="0" axis="axisValues" fieldPosition="0"/>
    </format>
    <format dxfId="5">
      <pivotArea dataOnly="0" labelOnly="1" outline="0" axis="axisValues" fieldPosition="0"/>
    </format>
    <format dxfId="6">
      <pivotArea dataOnly="0" labelOnly="1" grandRow="1" outline="0" fieldPosition="0"/>
    </format>
    <format dxfId="7">
      <pivotArea dataOnly="0" labelOnly="1" grandRow="1" outline="0" fieldPosition="0"/>
    </format>
    <format dxfId="8">
      <pivotArea grandRow="1" outline="0" collapsedLevelsAreSubtotals="1" fieldPosition="0"/>
    </format>
    <format dxfId="9">
      <pivotArea grandRow="1" outline="0" collapsedLevelsAreSubtotals="1" fieldPosition="0"/>
    </format>
  </format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7880-428C-42C5-8CDD-639E9B8C1E93}">
  <dimension ref="A1:K303"/>
  <sheetViews>
    <sheetView topLeftCell="C1" zoomScale="52" workbookViewId="0">
      <selection activeCell="D342" sqref="D342"/>
    </sheetView>
  </sheetViews>
  <sheetFormatPr defaultRowHeight="14.5" x14ac:dyDescent="0.35"/>
  <cols>
    <col min="1" max="1" width="9.08984375" style="4" bestFit="1" customWidth="1"/>
    <col min="2" max="2" width="12.6328125" style="17" customWidth="1"/>
    <col min="3" max="3" width="9.453125" style="4" customWidth="1"/>
    <col min="4" max="4" width="18.453125" style="4" customWidth="1"/>
    <col min="5" max="5" width="16" style="4" customWidth="1"/>
    <col min="6" max="6" width="20.08984375" style="4" customWidth="1"/>
    <col min="7" max="7" width="17.08984375" style="4" bestFit="1" customWidth="1"/>
    <col min="8" max="8" width="9.81640625" style="4" customWidth="1"/>
    <col min="9" max="9" width="10.36328125" style="4" bestFit="1" customWidth="1"/>
    <col min="10" max="10" width="11.81640625" style="4" customWidth="1"/>
    <col min="11" max="11" width="23.26953125" style="4" customWidth="1"/>
  </cols>
  <sheetData>
    <row r="1" spans="1:11" ht="18" x14ac:dyDescent="0.4">
      <c r="A1" s="10" t="s">
        <v>325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35">
      <c r="A2" s="2"/>
      <c r="B2" s="15"/>
      <c r="C2" s="2"/>
      <c r="D2" s="2"/>
      <c r="E2" s="2"/>
      <c r="F2" s="2"/>
      <c r="G2" s="2"/>
      <c r="H2" s="2"/>
      <c r="I2" s="2"/>
      <c r="J2" s="2"/>
      <c r="K2" s="2"/>
    </row>
    <row r="3" spans="1:11" x14ac:dyDescent="0.35">
      <c r="A3" s="1" t="s">
        <v>316</v>
      </c>
      <c r="B3" s="16" t="s">
        <v>317</v>
      </c>
      <c r="C3" s="1" t="s">
        <v>0</v>
      </c>
      <c r="D3" s="1" t="s">
        <v>318</v>
      </c>
      <c r="E3" s="1" t="s">
        <v>319</v>
      </c>
      <c r="F3" s="1" t="s">
        <v>320</v>
      </c>
      <c r="G3" s="1" t="s">
        <v>321</v>
      </c>
      <c r="H3" s="1" t="s">
        <v>4</v>
      </c>
      <c r="I3" s="1" t="s">
        <v>322</v>
      </c>
      <c r="J3" s="1" t="s">
        <v>323</v>
      </c>
      <c r="K3" s="1" t="s">
        <v>324</v>
      </c>
    </row>
    <row r="4" spans="1:11" x14ac:dyDescent="0.35">
      <c r="A4" s="3" t="s">
        <v>8</v>
      </c>
      <c r="B4" s="18">
        <v>45658</v>
      </c>
      <c r="C4" s="3" t="s">
        <v>9</v>
      </c>
      <c r="D4" s="3" t="s">
        <v>10</v>
      </c>
      <c r="E4" s="3">
        <v>40</v>
      </c>
      <c r="F4" s="3">
        <v>23993</v>
      </c>
      <c r="G4" s="3">
        <v>153.16</v>
      </c>
      <c r="H4" s="3">
        <v>6</v>
      </c>
      <c r="I4" s="3">
        <v>127.36</v>
      </c>
      <c r="J4" s="3">
        <v>764.15</v>
      </c>
      <c r="K4" s="3">
        <v>2.2000000000000002</v>
      </c>
    </row>
    <row r="5" spans="1:11" x14ac:dyDescent="0.35">
      <c r="A5" s="3" t="s">
        <v>11</v>
      </c>
      <c r="B5" s="18">
        <v>45658</v>
      </c>
      <c r="C5" s="3" t="s">
        <v>12</v>
      </c>
      <c r="D5" s="3" t="s">
        <v>10</v>
      </c>
      <c r="E5" s="3">
        <v>34</v>
      </c>
      <c r="F5" s="3">
        <v>27444</v>
      </c>
      <c r="G5" s="3">
        <v>375.01</v>
      </c>
      <c r="H5" s="3">
        <v>4</v>
      </c>
      <c r="I5" s="3">
        <v>317.54000000000002</v>
      </c>
      <c r="J5" s="3">
        <v>1270.1600000000001</v>
      </c>
      <c r="K5" s="3">
        <v>3.2</v>
      </c>
    </row>
    <row r="6" spans="1:11" x14ac:dyDescent="0.35">
      <c r="A6" s="3" t="s">
        <v>13</v>
      </c>
      <c r="B6" s="18">
        <v>45659</v>
      </c>
      <c r="C6" s="3" t="s">
        <v>14</v>
      </c>
      <c r="D6" s="3" t="s">
        <v>10</v>
      </c>
      <c r="E6" s="3">
        <v>41</v>
      </c>
      <c r="F6" s="3">
        <v>52767</v>
      </c>
      <c r="G6" s="3">
        <v>374.02</v>
      </c>
      <c r="H6" s="3">
        <v>6</v>
      </c>
      <c r="I6" s="3">
        <v>237.6</v>
      </c>
      <c r="J6" s="3">
        <v>1425.61</v>
      </c>
      <c r="K6" s="3">
        <v>2.9</v>
      </c>
    </row>
    <row r="7" spans="1:11" x14ac:dyDescent="0.35">
      <c r="A7" s="3" t="s">
        <v>15</v>
      </c>
      <c r="B7" s="18">
        <v>45659</v>
      </c>
      <c r="C7" s="3" t="s">
        <v>9</v>
      </c>
      <c r="D7" s="3" t="s">
        <v>16</v>
      </c>
      <c r="E7" s="3">
        <v>50</v>
      </c>
      <c r="F7" s="3">
        <v>49276</v>
      </c>
      <c r="G7" s="3">
        <v>338.52</v>
      </c>
      <c r="H7" s="3">
        <v>3</v>
      </c>
      <c r="I7" s="3">
        <v>405.38</v>
      </c>
      <c r="J7" s="3">
        <v>1216.1400000000001</v>
      </c>
      <c r="K7" s="3">
        <v>3.3</v>
      </c>
    </row>
    <row r="8" spans="1:11" x14ac:dyDescent="0.35">
      <c r="A8" s="3" t="s">
        <v>17</v>
      </c>
      <c r="B8" s="18">
        <v>45660</v>
      </c>
      <c r="C8" s="3" t="s">
        <v>14</v>
      </c>
      <c r="D8" s="3" t="s">
        <v>18</v>
      </c>
      <c r="E8" s="3">
        <v>33</v>
      </c>
      <c r="F8" s="3">
        <v>35938</v>
      </c>
      <c r="G8" s="3">
        <v>362.28</v>
      </c>
      <c r="H8" s="3">
        <v>6</v>
      </c>
      <c r="I8" s="3">
        <v>217.56</v>
      </c>
      <c r="J8" s="3">
        <v>1305.3399999999999</v>
      </c>
      <c r="K8" s="3">
        <v>3.4</v>
      </c>
    </row>
    <row r="9" spans="1:11" x14ac:dyDescent="0.35">
      <c r="A9" s="3" t="s">
        <v>19</v>
      </c>
      <c r="B9" s="18">
        <v>45661</v>
      </c>
      <c r="C9" s="3" t="s">
        <v>9</v>
      </c>
      <c r="D9" s="3" t="s">
        <v>18</v>
      </c>
      <c r="E9" s="3">
        <v>33</v>
      </c>
      <c r="F9" s="3">
        <v>38510</v>
      </c>
      <c r="G9" s="3">
        <v>294.23</v>
      </c>
      <c r="H9" s="3">
        <v>2</v>
      </c>
      <c r="I9" s="3">
        <v>572.76</v>
      </c>
      <c r="J9" s="3">
        <v>1145.52</v>
      </c>
      <c r="K9" s="3">
        <v>3.3</v>
      </c>
    </row>
    <row r="10" spans="1:11" x14ac:dyDescent="0.35">
      <c r="A10" s="3" t="s">
        <v>20</v>
      </c>
      <c r="B10" s="18">
        <v>45661</v>
      </c>
      <c r="C10" s="3" t="s">
        <v>12</v>
      </c>
      <c r="D10" s="3" t="s">
        <v>21</v>
      </c>
      <c r="E10" s="3">
        <v>51</v>
      </c>
      <c r="F10" s="3">
        <v>68791</v>
      </c>
      <c r="G10" s="3">
        <v>163.31</v>
      </c>
      <c r="H10" s="3">
        <v>2</v>
      </c>
      <c r="I10" s="3">
        <v>291.38</v>
      </c>
      <c r="J10" s="3">
        <v>582.77</v>
      </c>
      <c r="K10" s="3">
        <v>1.8</v>
      </c>
    </row>
    <row r="11" spans="1:11" x14ac:dyDescent="0.35">
      <c r="A11" s="3" t="s">
        <v>22</v>
      </c>
      <c r="B11" s="18">
        <v>45662</v>
      </c>
      <c r="C11" s="3" t="s">
        <v>23</v>
      </c>
      <c r="D11" s="3" t="s">
        <v>18</v>
      </c>
      <c r="E11" s="3">
        <v>43</v>
      </c>
      <c r="F11" s="3">
        <v>27017</v>
      </c>
      <c r="G11" s="3">
        <v>205.56</v>
      </c>
      <c r="H11" s="3">
        <v>5</v>
      </c>
      <c r="I11" s="3">
        <v>167.68</v>
      </c>
      <c r="J11" s="3">
        <v>838.38</v>
      </c>
      <c r="K11" s="3">
        <v>2.2000000000000002</v>
      </c>
    </row>
    <row r="12" spans="1:11" x14ac:dyDescent="0.35">
      <c r="A12" s="3" t="s">
        <v>24</v>
      </c>
      <c r="B12" s="18">
        <v>45662</v>
      </c>
      <c r="C12" s="3" t="s">
        <v>12</v>
      </c>
      <c r="D12" s="3" t="s">
        <v>16</v>
      </c>
      <c r="E12" s="3">
        <v>30</v>
      </c>
      <c r="F12" s="3">
        <v>47741</v>
      </c>
      <c r="G12" s="3">
        <v>131.72</v>
      </c>
      <c r="H12" s="3">
        <v>1</v>
      </c>
      <c r="I12" s="3">
        <v>584.82000000000005</v>
      </c>
      <c r="J12" s="3">
        <v>584.82000000000005</v>
      </c>
      <c r="K12" s="3">
        <v>2</v>
      </c>
    </row>
    <row r="13" spans="1:11" x14ac:dyDescent="0.35">
      <c r="A13" s="3" t="s">
        <v>25</v>
      </c>
      <c r="B13" s="18">
        <v>45663</v>
      </c>
      <c r="C13" s="3" t="s">
        <v>14</v>
      </c>
      <c r="D13" s="3" t="s">
        <v>18</v>
      </c>
      <c r="E13" s="3">
        <v>40</v>
      </c>
      <c r="F13" s="3">
        <v>32824</v>
      </c>
      <c r="G13" s="3">
        <v>458.8</v>
      </c>
      <c r="H13" s="3">
        <v>7</v>
      </c>
      <c r="I13" s="3">
        <v>236.79</v>
      </c>
      <c r="J13" s="3">
        <v>1657.56</v>
      </c>
      <c r="K13" s="3">
        <v>3.3</v>
      </c>
    </row>
    <row r="14" spans="1:11" x14ac:dyDescent="0.35">
      <c r="A14" s="3" t="s">
        <v>26</v>
      </c>
      <c r="B14" s="18">
        <v>45664</v>
      </c>
      <c r="C14" s="3" t="s">
        <v>9</v>
      </c>
      <c r="D14" s="3" t="s">
        <v>21</v>
      </c>
      <c r="E14" s="3">
        <v>30</v>
      </c>
      <c r="F14" s="3">
        <v>32570</v>
      </c>
      <c r="G14" s="3">
        <v>312.52999999999997</v>
      </c>
      <c r="H14" s="3">
        <v>3</v>
      </c>
      <c r="I14" s="3">
        <v>391.08</v>
      </c>
      <c r="J14" s="3">
        <v>1173.23</v>
      </c>
      <c r="K14" s="3">
        <v>3</v>
      </c>
    </row>
    <row r="15" spans="1:11" x14ac:dyDescent="0.35">
      <c r="A15" s="3" t="s">
        <v>27</v>
      </c>
      <c r="B15" s="18">
        <v>45664</v>
      </c>
      <c r="C15" s="3" t="s">
        <v>12</v>
      </c>
      <c r="D15" s="3" t="s">
        <v>18</v>
      </c>
      <c r="E15" s="3">
        <v>30</v>
      </c>
      <c r="F15" s="3">
        <v>62905</v>
      </c>
      <c r="G15" s="3">
        <v>230.38</v>
      </c>
      <c r="H15" s="3">
        <v>5</v>
      </c>
      <c r="I15" s="3">
        <v>216.73</v>
      </c>
      <c r="J15" s="3">
        <v>1083.6400000000001</v>
      </c>
      <c r="K15" s="3">
        <v>3.3</v>
      </c>
    </row>
    <row r="16" spans="1:11" x14ac:dyDescent="0.35">
      <c r="A16" s="3" t="s">
        <v>28</v>
      </c>
      <c r="B16" s="18">
        <v>45665</v>
      </c>
      <c r="C16" s="3" t="s">
        <v>14</v>
      </c>
      <c r="D16" s="3" t="s">
        <v>21</v>
      </c>
      <c r="E16" s="3">
        <v>37</v>
      </c>
      <c r="F16" s="3">
        <v>54869</v>
      </c>
      <c r="G16" s="3">
        <v>257.89999999999998</v>
      </c>
      <c r="H16" s="3">
        <v>3</v>
      </c>
      <c r="I16" s="3">
        <v>308.08999999999997</v>
      </c>
      <c r="J16" s="3">
        <v>924.26</v>
      </c>
      <c r="K16" s="3">
        <v>2.2999999999999998</v>
      </c>
    </row>
    <row r="17" spans="1:11" x14ac:dyDescent="0.35">
      <c r="A17" s="3" t="s">
        <v>29</v>
      </c>
      <c r="B17" s="18">
        <v>45665</v>
      </c>
      <c r="C17" s="3" t="s">
        <v>12</v>
      </c>
      <c r="D17" s="3" t="s">
        <v>21</v>
      </c>
      <c r="E17" s="3">
        <v>18</v>
      </c>
      <c r="F17" s="3">
        <v>54544</v>
      </c>
      <c r="G17" s="3">
        <v>476.28</v>
      </c>
      <c r="H17" s="3">
        <v>1</v>
      </c>
      <c r="I17" s="3">
        <v>1631.62</v>
      </c>
      <c r="J17" s="3">
        <v>1631.62</v>
      </c>
      <c r="K17" s="3">
        <v>2.5</v>
      </c>
    </row>
    <row r="18" spans="1:11" x14ac:dyDescent="0.35">
      <c r="A18" s="3" t="s">
        <v>30</v>
      </c>
      <c r="B18" s="18">
        <v>45666</v>
      </c>
      <c r="C18" s="3" t="s">
        <v>14</v>
      </c>
      <c r="D18" s="3" t="s">
        <v>21</v>
      </c>
      <c r="E18" s="3">
        <v>18</v>
      </c>
      <c r="F18" s="3">
        <v>69755</v>
      </c>
      <c r="G18" s="3">
        <v>119.01</v>
      </c>
      <c r="H18" s="3">
        <v>6</v>
      </c>
      <c r="I18" s="3">
        <v>80.16</v>
      </c>
      <c r="J18" s="3">
        <v>480.98</v>
      </c>
      <c r="K18" s="3">
        <v>3.7</v>
      </c>
    </row>
    <row r="19" spans="1:11" x14ac:dyDescent="0.35">
      <c r="A19" s="3" t="s">
        <v>31</v>
      </c>
      <c r="B19" s="18">
        <v>45667</v>
      </c>
      <c r="C19" s="3" t="s">
        <v>23</v>
      </c>
      <c r="D19" s="3" t="s">
        <v>18</v>
      </c>
      <c r="E19" s="3">
        <v>29</v>
      </c>
      <c r="F19" s="3">
        <v>36699</v>
      </c>
      <c r="G19" s="3">
        <v>313.8</v>
      </c>
      <c r="H19" s="3">
        <v>6</v>
      </c>
      <c r="I19" s="3">
        <v>184.95</v>
      </c>
      <c r="J19" s="3">
        <v>1109.72</v>
      </c>
      <c r="K19" s="3">
        <v>2.2999999999999998</v>
      </c>
    </row>
    <row r="20" spans="1:11" x14ac:dyDescent="0.35">
      <c r="A20" s="3" t="s">
        <v>32</v>
      </c>
      <c r="B20" s="18">
        <v>45667</v>
      </c>
      <c r="C20" s="3" t="s">
        <v>9</v>
      </c>
      <c r="D20" s="3" t="s">
        <v>18</v>
      </c>
      <c r="E20" s="3">
        <v>25</v>
      </c>
      <c r="F20" s="3">
        <v>51071</v>
      </c>
      <c r="G20" s="3">
        <v>277.64999999999998</v>
      </c>
      <c r="H20" s="3">
        <v>7</v>
      </c>
      <c r="I20" s="3">
        <v>141.07</v>
      </c>
      <c r="J20" s="3">
        <v>987.49</v>
      </c>
      <c r="K20" s="3">
        <v>3.3</v>
      </c>
    </row>
    <row r="21" spans="1:11" x14ac:dyDescent="0.35">
      <c r="A21" s="3" t="s">
        <v>33</v>
      </c>
      <c r="B21" s="18">
        <v>45668</v>
      </c>
      <c r="C21" s="3" t="s">
        <v>14</v>
      </c>
      <c r="D21" s="3" t="s">
        <v>21</v>
      </c>
      <c r="E21" s="3">
        <v>129</v>
      </c>
      <c r="F21" s="3">
        <v>31097</v>
      </c>
      <c r="G21" s="3">
        <v>325.14999999999998</v>
      </c>
      <c r="H21" s="3">
        <v>1</v>
      </c>
      <c r="I21" s="3">
        <v>1285.5999999999999</v>
      </c>
      <c r="J21" s="3">
        <v>1285.5999999999999</v>
      </c>
      <c r="K21" s="3">
        <v>3.1</v>
      </c>
    </row>
    <row r="22" spans="1:11" x14ac:dyDescent="0.35">
      <c r="A22" s="3" t="s">
        <v>34</v>
      </c>
      <c r="B22" s="18">
        <v>45668</v>
      </c>
      <c r="C22" s="3" t="s">
        <v>23</v>
      </c>
      <c r="D22" s="3" t="s">
        <v>10</v>
      </c>
      <c r="E22" s="3">
        <v>26</v>
      </c>
      <c r="F22" s="3">
        <v>42706</v>
      </c>
      <c r="G22" s="3">
        <v>58.15</v>
      </c>
      <c r="H22" s="3">
        <v>5</v>
      </c>
      <c r="I22" s="3">
        <v>89.94</v>
      </c>
      <c r="J22" s="3">
        <v>449.72</v>
      </c>
      <c r="K22" s="3">
        <v>2.5</v>
      </c>
    </row>
    <row r="23" spans="1:11" x14ac:dyDescent="0.35">
      <c r="A23" s="3" t="s">
        <v>35</v>
      </c>
      <c r="B23" s="18">
        <v>45669</v>
      </c>
      <c r="C23" s="3" t="s">
        <v>12</v>
      </c>
      <c r="D23" s="3" t="s">
        <v>10</v>
      </c>
      <c r="E23" s="3">
        <v>21</v>
      </c>
      <c r="F23" s="3">
        <v>34028</v>
      </c>
      <c r="G23" s="3">
        <v>442.46</v>
      </c>
      <c r="H23" s="3">
        <v>7</v>
      </c>
      <c r="I23" s="3">
        <v>217.17</v>
      </c>
      <c r="J23" s="3">
        <v>1520.21</v>
      </c>
      <c r="K23" s="3">
        <v>3.3</v>
      </c>
    </row>
    <row r="24" spans="1:11" x14ac:dyDescent="0.35">
      <c r="A24" s="3" t="s">
        <v>36</v>
      </c>
      <c r="B24" s="18">
        <v>45670</v>
      </c>
      <c r="C24" s="3" t="s">
        <v>12</v>
      </c>
      <c r="D24" s="3" t="s">
        <v>10</v>
      </c>
      <c r="E24" s="3">
        <v>50</v>
      </c>
      <c r="F24" s="3">
        <v>38120</v>
      </c>
      <c r="G24" s="3">
        <v>469.45</v>
      </c>
      <c r="H24" s="3">
        <v>1</v>
      </c>
      <c r="I24" s="3">
        <v>1585.65</v>
      </c>
      <c r="J24" s="3">
        <v>1585.65</v>
      </c>
      <c r="K24" s="3">
        <v>3.1</v>
      </c>
    </row>
    <row r="25" spans="1:11" x14ac:dyDescent="0.35">
      <c r="A25" s="3" t="s">
        <v>37</v>
      </c>
      <c r="B25" s="18">
        <v>45670</v>
      </c>
      <c r="C25" s="3" t="s">
        <v>12</v>
      </c>
      <c r="D25" s="3" t="s">
        <v>21</v>
      </c>
      <c r="E25" s="3">
        <v>33</v>
      </c>
      <c r="F25" s="3">
        <v>48902</v>
      </c>
      <c r="G25" s="3">
        <v>304.31</v>
      </c>
      <c r="H25" s="3">
        <v>4</v>
      </c>
      <c r="I25" s="3">
        <v>290.38</v>
      </c>
      <c r="J25" s="3">
        <v>1161.51</v>
      </c>
      <c r="K25" s="3">
        <v>3.3</v>
      </c>
    </row>
    <row r="26" spans="1:11" x14ac:dyDescent="0.35">
      <c r="A26" s="3" t="s">
        <v>38</v>
      </c>
      <c r="B26" s="18">
        <v>45671</v>
      </c>
      <c r="C26" s="3" t="s">
        <v>12</v>
      </c>
      <c r="D26" s="3" t="s">
        <v>10</v>
      </c>
      <c r="E26" s="3">
        <v>36</v>
      </c>
      <c r="F26" s="3">
        <v>24122</v>
      </c>
      <c r="G26" s="3">
        <v>363.49</v>
      </c>
      <c r="H26" s="3">
        <v>2</v>
      </c>
      <c r="I26" s="3">
        <v>634.5</v>
      </c>
      <c r="J26" s="3">
        <v>1268.99</v>
      </c>
      <c r="K26" s="3">
        <v>2.8</v>
      </c>
    </row>
    <row r="27" spans="1:11" x14ac:dyDescent="0.35">
      <c r="A27" s="3" t="s">
        <v>39</v>
      </c>
      <c r="B27" s="18">
        <v>45671</v>
      </c>
      <c r="C27" s="3" t="s">
        <v>9</v>
      </c>
      <c r="D27" s="3" t="s">
        <v>18</v>
      </c>
      <c r="E27" s="3">
        <v>21</v>
      </c>
      <c r="F27" s="3">
        <v>103383</v>
      </c>
      <c r="G27" s="3">
        <v>465.12</v>
      </c>
      <c r="H27" s="3">
        <v>7</v>
      </c>
      <c r="I27" s="3">
        <v>241.29</v>
      </c>
      <c r="J27" s="3">
        <v>1689.02</v>
      </c>
      <c r="K27" s="3">
        <v>4.2</v>
      </c>
    </row>
    <row r="28" spans="1:11" x14ac:dyDescent="0.35">
      <c r="A28" s="3" t="s">
        <v>40</v>
      </c>
      <c r="B28" s="18">
        <v>45672</v>
      </c>
      <c r="C28" s="3" t="s">
        <v>14</v>
      </c>
      <c r="D28" s="3" t="s">
        <v>21</v>
      </c>
      <c r="E28" s="3">
        <v>30</v>
      </c>
      <c r="F28" s="3">
        <v>21960</v>
      </c>
      <c r="G28" s="3">
        <v>368.26</v>
      </c>
      <c r="H28" s="3">
        <v>7</v>
      </c>
      <c r="I28" s="3">
        <v>192.1</v>
      </c>
      <c r="J28" s="3">
        <v>1344.67</v>
      </c>
      <c r="K28" s="3">
        <v>3.5</v>
      </c>
    </row>
    <row r="29" spans="1:11" x14ac:dyDescent="0.35">
      <c r="A29" s="3" t="s">
        <v>41</v>
      </c>
      <c r="B29" s="18">
        <v>45673</v>
      </c>
      <c r="C29" s="3" t="s">
        <v>23</v>
      </c>
      <c r="D29" s="3" t="s">
        <v>21</v>
      </c>
      <c r="E29" s="3">
        <v>36</v>
      </c>
      <c r="F29" s="3">
        <v>19789</v>
      </c>
      <c r="G29" s="3">
        <v>118.64</v>
      </c>
      <c r="H29" s="3">
        <v>5</v>
      </c>
      <c r="I29" s="3">
        <v>81.680000000000007</v>
      </c>
      <c r="J29" s="3">
        <v>408.39</v>
      </c>
      <c r="K29" s="3">
        <v>2.7</v>
      </c>
    </row>
    <row r="30" spans="1:11" x14ac:dyDescent="0.35">
      <c r="A30" s="3" t="s">
        <v>42</v>
      </c>
      <c r="B30" s="18">
        <v>45673</v>
      </c>
      <c r="C30" s="3" t="s">
        <v>12</v>
      </c>
      <c r="D30" s="3" t="s">
        <v>10</v>
      </c>
      <c r="E30" s="3">
        <v>23</v>
      </c>
      <c r="F30" s="3">
        <v>64800</v>
      </c>
      <c r="G30" s="3">
        <v>309.33</v>
      </c>
      <c r="H30" s="3">
        <v>3</v>
      </c>
      <c r="I30" s="3">
        <v>421.22</v>
      </c>
      <c r="J30" s="3">
        <v>1263.6600000000001</v>
      </c>
      <c r="K30" s="3">
        <v>2.8</v>
      </c>
    </row>
    <row r="31" spans="1:11" x14ac:dyDescent="0.35">
      <c r="A31" s="3" t="s">
        <v>43</v>
      </c>
      <c r="B31" s="18">
        <v>45674</v>
      </c>
      <c r="C31" s="3" t="s">
        <v>9</v>
      </c>
      <c r="D31" s="3" t="s">
        <v>16</v>
      </c>
      <c r="E31" s="3">
        <v>39</v>
      </c>
      <c r="F31" s="3">
        <v>53951</v>
      </c>
      <c r="G31" s="3">
        <v>323.02</v>
      </c>
      <c r="H31" s="3">
        <v>4</v>
      </c>
      <c r="I31" s="3">
        <v>331.83</v>
      </c>
      <c r="J31" s="3">
        <v>1327.33</v>
      </c>
      <c r="K31" s="3">
        <v>3</v>
      </c>
    </row>
    <row r="32" spans="1:11" x14ac:dyDescent="0.35">
      <c r="A32" s="3" t="s">
        <v>44</v>
      </c>
      <c r="B32" s="18">
        <v>45674</v>
      </c>
      <c r="C32" s="3" t="s">
        <v>14</v>
      </c>
      <c r="D32" s="3" t="s">
        <v>18</v>
      </c>
      <c r="E32" s="3">
        <v>29</v>
      </c>
      <c r="F32" s="3">
        <v>49616</v>
      </c>
      <c r="G32" s="3">
        <v>240.86</v>
      </c>
      <c r="H32" s="3">
        <v>5</v>
      </c>
      <c r="I32" s="3">
        <v>174.35</v>
      </c>
      <c r="J32" s="3">
        <v>871.73</v>
      </c>
      <c r="K32" s="3">
        <v>2</v>
      </c>
    </row>
    <row r="33" spans="1:11" x14ac:dyDescent="0.35">
      <c r="A33" s="3" t="s">
        <v>45</v>
      </c>
      <c r="B33" s="18">
        <v>45675</v>
      </c>
      <c r="C33" s="3" t="s">
        <v>12</v>
      </c>
      <c r="D33" s="3" t="s">
        <v>18</v>
      </c>
      <c r="E33" s="3">
        <v>32</v>
      </c>
      <c r="F33" s="3">
        <v>49721</v>
      </c>
      <c r="G33" s="3">
        <v>381.4</v>
      </c>
      <c r="H33" s="3">
        <v>1</v>
      </c>
      <c r="I33" s="3">
        <v>1339.46</v>
      </c>
      <c r="J33" s="3">
        <v>1339.46</v>
      </c>
      <c r="K33" s="3">
        <v>2.9</v>
      </c>
    </row>
    <row r="34" spans="1:11" x14ac:dyDescent="0.35">
      <c r="A34" s="3" t="s">
        <v>46</v>
      </c>
      <c r="B34" s="18">
        <v>45676</v>
      </c>
      <c r="C34" s="3" t="s">
        <v>14</v>
      </c>
      <c r="D34" s="3" t="s">
        <v>10</v>
      </c>
      <c r="E34" s="3">
        <v>29</v>
      </c>
      <c r="F34" s="3">
        <v>36094</v>
      </c>
      <c r="G34" s="3">
        <v>470.47</v>
      </c>
      <c r="H34" s="3">
        <v>1</v>
      </c>
      <c r="I34" s="3">
        <v>1678.37</v>
      </c>
      <c r="J34" s="3">
        <v>1678.37</v>
      </c>
      <c r="K34" s="3">
        <v>2.8</v>
      </c>
    </row>
    <row r="35" spans="1:11" x14ac:dyDescent="0.35">
      <c r="A35" s="3" t="s">
        <v>47</v>
      </c>
      <c r="B35" s="18">
        <v>45676</v>
      </c>
      <c r="C35" s="3" t="s">
        <v>23</v>
      </c>
      <c r="D35" s="3" t="s">
        <v>10</v>
      </c>
      <c r="E35" s="3">
        <v>54</v>
      </c>
      <c r="F35" s="3">
        <v>23188</v>
      </c>
      <c r="G35" s="3">
        <v>466.51</v>
      </c>
      <c r="H35" s="3">
        <v>1</v>
      </c>
      <c r="I35" s="3">
        <v>1669.59</v>
      </c>
      <c r="J35" s="3">
        <v>1669.59</v>
      </c>
      <c r="K35" s="3">
        <v>4.2</v>
      </c>
    </row>
    <row r="36" spans="1:11" x14ac:dyDescent="0.35">
      <c r="A36" s="3" t="s">
        <v>48</v>
      </c>
      <c r="B36" s="18">
        <v>45677</v>
      </c>
      <c r="C36" s="3" t="s">
        <v>12</v>
      </c>
      <c r="D36" s="3" t="s">
        <v>21</v>
      </c>
      <c r="E36" s="3">
        <v>35</v>
      </c>
      <c r="F36" s="3">
        <v>37718</v>
      </c>
      <c r="G36" s="3">
        <v>252.88</v>
      </c>
      <c r="H36" s="3">
        <v>1</v>
      </c>
      <c r="I36" s="3">
        <v>1011.9</v>
      </c>
      <c r="J36" s="3">
        <v>1011.9</v>
      </c>
      <c r="K36" s="3">
        <v>2.9</v>
      </c>
    </row>
    <row r="37" spans="1:11" x14ac:dyDescent="0.35">
      <c r="A37" s="3" t="s">
        <v>49</v>
      </c>
      <c r="B37" s="18">
        <v>45677</v>
      </c>
      <c r="C37" s="3" t="s">
        <v>23</v>
      </c>
      <c r="D37" s="3" t="s">
        <v>18</v>
      </c>
      <c r="E37" s="3">
        <v>24</v>
      </c>
      <c r="F37" s="3">
        <v>25885</v>
      </c>
      <c r="G37" s="3">
        <v>100.96</v>
      </c>
      <c r="H37" s="3">
        <v>3</v>
      </c>
      <c r="I37" s="3">
        <v>211.3</v>
      </c>
      <c r="J37" s="3">
        <v>633.89</v>
      </c>
      <c r="K37" s="3">
        <v>2.6</v>
      </c>
    </row>
    <row r="38" spans="1:11" x14ac:dyDescent="0.35">
      <c r="A38" s="3" t="s">
        <v>50</v>
      </c>
      <c r="B38" s="18">
        <v>45678</v>
      </c>
      <c r="C38" s="3" t="s">
        <v>23</v>
      </c>
      <c r="D38" s="3" t="s">
        <v>16</v>
      </c>
      <c r="E38" s="3">
        <v>43</v>
      </c>
      <c r="F38" s="3">
        <v>59134</v>
      </c>
      <c r="G38" s="3">
        <v>493.18</v>
      </c>
      <c r="H38" s="3">
        <v>4</v>
      </c>
      <c r="I38" s="3">
        <v>428.5</v>
      </c>
      <c r="J38" s="3">
        <v>1714.02</v>
      </c>
      <c r="K38" s="3">
        <v>3.4</v>
      </c>
    </row>
    <row r="39" spans="1:11" x14ac:dyDescent="0.35">
      <c r="A39" s="3" t="s">
        <v>51</v>
      </c>
      <c r="B39" s="18">
        <v>45679</v>
      </c>
      <c r="C39" s="3" t="s">
        <v>12</v>
      </c>
      <c r="D39" s="3" t="s">
        <v>18</v>
      </c>
      <c r="E39" s="3">
        <v>23</v>
      </c>
      <c r="F39" s="3">
        <v>33741</v>
      </c>
      <c r="G39" s="3">
        <v>427.5</v>
      </c>
      <c r="H39" s="3">
        <v>6</v>
      </c>
      <c r="I39" s="3">
        <v>242.36</v>
      </c>
      <c r="J39" s="3">
        <v>1454.14</v>
      </c>
      <c r="K39" s="3">
        <v>3.4</v>
      </c>
    </row>
    <row r="40" spans="1:11" x14ac:dyDescent="0.35">
      <c r="A40" s="3" t="s">
        <v>52</v>
      </c>
      <c r="B40" s="18">
        <v>45679</v>
      </c>
      <c r="C40" s="3" t="s">
        <v>9</v>
      </c>
      <c r="D40" s="3" t="s">
        <v>16</v>
      </c>
      <c r="E40" s="3">
        <v>37</v>
      </c>
      <c r="F40" s="3">
        <v>24035</v>
      </c>
      <c r="G40" s="3">
        <v>106.1</v>
      </c>
      <c r="H40" s="3">
        <v>2</v>
      </c>
      <c r="I40" s="3">
        <v>189.58</v>
      </c>
      <c r="J40" s="3">
        <v>379.17</v>
      </c>
      <c r="K40" s="3">
        <v>3.7</v>
      </c>
    </row>
    <row r="41" spans="1:11" x14ac:dyDescent="0.35">
      <c r="A41" s="3" t="s">
        <v>53</v>
      </c>
      <c r="B41" s="18">
        <v>45680</v>
      </c>
      <c r="C41" s="3" t="s">
        <v>9</v>
      </c>
      <c r="D41" s="3" t="s">
        <v>18</v>
      </c>
      <c r="E41" s="3">
        <v>18</v>
      </c>
      <c r="F41" s="3">
        <v>30925</v>
      </c>
      <c r="G41" s="3">
        <v>464.38</v>
      </c>
      <c r="H41" s="3">
        <v>3</v>
      </c>
      <c r="I41" s="3">
        <v>525.85</v>
      </c>
      <c r="J41" s="3">
        <v>1577.54</v>
      </c>
      <c r="K41" s="3">
        <v>3.2</v>
      </c>
    </row>
    <row r="42" spans="1:11" x14ac:dyDescent="0.35">
      <c r="A42" s="3" t="s">
        <v>54</v>
      </c>
      <c r="B42" s="18">
        <v>45680</v>
      </c>
      <c r="C42" s="3" t="s">
        <v>14</v>
      </c>
      <c r="D42" s="3" t="s">
        <v>21</v>
      </c>
      <c r="E42" s="3">
        <v>22</v>
      </c>
      <c r="F42" s="3">
        <v>44644</v>
      </c>
      <c r="G42" s="3">
        <v>441.45</v>
      </c>
      <c r="H42" s="3">
        <v>3</v>
      </c>
      <c r="I42" s="3">
        <v>520</v>
      </c>
      <c r="J42" s="3">
        <v>1559.99</v>
      </c>
      <c r="K42" s="3">
        <v>3</v>
      </c>
    </row>
    <row r="43" spans="1:11" x14ac:dyDescent="0.35">
      <c r="A43" s="3" t="s">
        <v>55</v>
      </c>
      <c r="B43" s="18">
        <v>45681</v>
      </c>
      <c r="C43" s="3" t="s">
        <v>23</v>
      </c>
      <c r="D43" s="3" t="s">
        <v>16</v>
      </c>
      <c r="E43" s="3">
        <v>37</v>
      </c>
      <c r="F43" s="3">
        <v>27396</v>
      </c>
      <c r="G43" s="3">
        <v>283.48</v>
      </c>
      <c r="H43" s="3">
        <v>6</v>
      </c>
      <c r="I43" s="3">
        <v>200.12</v>
      </c>
      <c r="J43" s="3">
        <v>1200.7</v>
      </c>
      <c r="K43" s="3">
        <v>3.3</v>
      </c>
    </row>
    <row r="44" spans="1:11" x14ac:dyDescent="0.35">
      <c r="A44" s="3" t="s">
        <v>56</v>
      </c>
      <c r="B44" s="18">
        <v>45682</v>
      </c>
      <c r="C44" s="3" t="s">
        <v>23</v>
      </c>
      <c r="D44" s="3" t="s">
        <v>21</v>
      </c>
      <c r="E44" s="3">
        <v>42</v>
      </c>
      <c r="F44" s="3">
        <v>24074</v>
      </c>
      <c r="G44" s="3">
        <v>316.07</v>
      </c>
      <c r="H44" s="3">
        <v>6</v>
      </c>
      <c r="I44" s="3">
        <v>186.67</v>
      </c>
      <c r="J44" s="3">
        <v>1120.02</v>
      </c>
      <c r="K44" s="3">
        <v>1.4</v>
      </c>
    </row>
    <row r="45" spans="1:11" x14ac:dyDescent="0.35">
      <c r="A45" s="3" t="s">
        <v>57</v>
      </c>
      <c r="B45" s="18">
        <v>45682</v>
      </c>
      <c r="C45" s="3" t="s">
        <v>14</v>
      </c>
      <c r="D45" s="3" t="s">
        <v>10</v>
      </c>
      <c r="E45" s="3">
        <v>37</v>
      </c>
      <c r="F45" s="3">
        <v>41021</v>
      </c>
      <c r="G45" s="3">
        <v>229.55</v>
      </c>
      <c r="H45" s="3">
        <v>2</v>
      </c>
      <c r="I45" s="3">
        <v>451.23</v>
      </c>
      <c r="J45" s="3">
        <v>902.46</v>
      </c>
      <c r="K45" s="3">
        <v>2.8</v>
      </c>
    </row>
    <row r="46" spans="1:11" x14ac:dyDescent="0.35">
      <c r="A46" s="3" t="s">
        <v>58</v>
      </c>
      <c r="B46" s="18">
        <v>45683</v>
      </c>
      <c r="C46" s="3" t="s">
        <v>23</v>
      </c>
      <c r="D46" s="3" t="s">
        <v>21</v>
      </c>
      <c r="E46" s="3">
        <v>34</v>
      </c>
      <c r="F46" s="3">
        <v>41047</v>
      </c>
      <c r="G46" s="3">
        <v>74.64</v>
      </c>
      <c r="H46" s="3">
        <v>2</v>
      </c>
      <c r="I46" s="3">
        <v>193.76</v>
      </c>
      <c r="J46" s="3">
        <v>-450</v>
      </c>
      <c r="K46" s="3">
        <v>2.1</v>
      </c>
    </row>
    <row r="47" spans="1:11" x14ac:dyDescent="0.35">
      <c r="A47" s="3" t="s">
        <v>59</v>
      </c>
      <c r="B47" s="18">
        <v>45683</v>
      </c>
      <c r="C47" s="3" t="s">
        <v>12</v>
      </c>
      <c r="D47" s="3" t="s">
        <v>21</v>
      </c>
      <c r="E47" s="3">
        <v>32</v>
      </c>
      <c r="F47" s="3">
        <v>28185</v>
      </c>
      <c r="G47" s="3">
        <v>200.84</v>
      </c>
      <c r="H47" s="3">
        <v>6</v>
      </c>
      <c r="I47" s="3">
        <v>147.96</v>
      </c>
      <c r="J47" s="3">
        <v>887.76</v>
      </c>
      <c r="K47" s="3">
        <v>2.1</v>
      </c>
    </row>
    <row r="48" spans="1:11" x14ac:dyDescent="0.35">
      <c r="A48" s="3" t="s">
        <v>60</v>
      </c>
      <c r="B48" s="18">
        <v>45684</v>
      </c>
      <c r="C48" s="3" t="s">
        <v>23</v>
      </c>
      <c r="D48" s="3" t="s">
        <v>10</v>
      </c>
      <c r="E48" s="3">
        <v>20</v>
      </c>
      <c r="F48" s="3">
        <v>28695</v>
      </c>
      <c r="G48" s="3">
        <v>411.28</v>
      </c>
      <c r="H48" s="3">
        <v>1</v>
      </c>
      <c r="I48" s="3">
        <v>1668.25</v>
      </c>
      <c r="J48" s="3">
        <v>1668.25</v>
      </c>
      <c r="K48" s="3">
        <v>3.8</v>
      </c>
    </row>
    <row r="49" spans="1:11" x14ac:dyDescent="0.35">
      <c r="A49" s="3" t="s">
        <v>61</v>
      </c>
      <c r="B49" s="18">
        <v>45685</v>
      </c>
      <c r="C49" s="3" t="s">
        <v>9</v>
      </c>
      <c r="D49" s="3" t="s">
        <v>21</v>
      </c>
      <c r="E49" s="3">
        <v>28</v>
      </c>
      <c r="F49" s="3">
        <v>40783</v>
      </c>
      <c r="G49" s="3">
        <v>52.08</v>
      </c>
      <c r="H49" s="3">
        <v>3</v>
      </c>
      <c r="I49" s="3">
        <v>91.4</v>
      </c>
      <c r="J49" s="3">
        <v>274.19</v>
      </c>
      <c r="K49" s="3">
        <v>2.2000000000000002</v>
      </c>
    </row>
    <row r="50" spans="1:11" x14ac:dyDescent="0.35">
      <c r="A50" s="3" t="s">
        <v>62</v>
      </c>
      <c r="B50" s="18">
        <v>45685</v>
      </c>
      <c r="C50" s="3" t="s">
        <v>23</v>
      </c>
      <c r="D50" s="3" t="s">
        <v>10</v>
      </c>
      <c r="E50" s="3">
        <v>30</v>
      </c>
      <c r="F50" s="3">
        <v>17605</v>
      </c>
      <c r="G50" s="3">
        <v>200.07</v>
      </c>
      <c r="H50" s="3">
        <v>5</v>
      </c>
      <c r="I50" s="3">
        <v>150.21</v>
      </c>
      <c r="J50" s="3">
        <v>751.07</v>
      </c>
      <c r="K50" s="3">
        <v>1.5</v>
      </c>
    </row>
    <row r="51" spans="1:11" x14ac:dyDescent="0.35">
      <c r="A51" s="3" t="s">
        <v>63</v>
      </c>
      <c r="B51" s="18">
        <v>45686</v>
      </c>
      <c r="C51" s="3" t="s">
        <v>12</v>
      </c>
      <c r="D51" s="3" t="s">
        <v>10</v>
      </c>
      <c r="E51" s="3">
        <v>46</v>
      </c>
      <c r="F51" s="3">
        <v>17967</v>
      </c>
      <c r="G51" s="3">
        <v>229.18</v>
      </c>
      <c r="H51" s="3">
        <v>2</v>
      </c>
      <c r="I51" s="3">
        <v>483.46</v>
      </c>
      <c r="J51" s="3">
        <v>966.91</v>
      </c>
      <c r="K51" s="3">
        <v>2.4</v>
      </c>
    </row>
    <row r="52" spans="1:11" x14ac:dyDescent="0.35">
      <c r="A52" s="3" t="s">
        <v>64</v>
      </c>
      <c r="B52" s="18">
        <v>45686</v>
      </c>
      <c r="C52" s="3" t="s">
        <v>14</v>
      </c>
      <c r="D52" s="3" t="s">
        <v>21</v>
      </c>
      <c r="E52" s="3">
        <v>38</v>
      </c>
      <c r="F52" s="3">
        <v>25356</v>
      </c>
      <c r="G52" s="3">
        <v>291.83</v>
      </c>
      <c r="H52" s="3">
        <v>2</v>
      </c>
      <c r="I52" s="3">
        <v>569.21</v>
      </c>
      <c r="J52" s="3">
        <v>1138.4100000000001</v>
      </c>
      <c r="K52" s="3">
        <v>1.2</v>
      </c>
    </row>
    <row r="53" spans="1:11" x14ac:dyDescent="0.35">
      <c r="A53" s="3" t="s">
        <v>65</v>
      </c>
      <c r="B53" s="18">
        <v>45687</v>
      </c>
      <c r="C53" s="3" t="s">
        <v>12</v>
      </c>
      <c r="D53" s="3" t="s">
        <v>21</v>
      </c>
      <c r="E53" s="3">
        <v>18</v>
      </c>
      <c r="F53" s="3">
        <v>32639</v>
      </c>
      <c r="G53" s="3">
        <v>463.94</v>
      </c>
      <c r="H53" s="3">
        <v>6</v>
      </c>
      <c r="I53" s="3">
        <v>297.06</v>
      </c>
      <c r="J53" s="3">
        <v>1782.34</v>
      </c>
      <c r="K53" s="3">
        <v>3.7</v>
      </c>
    </row>
    <row r="54" spans="1:11" x14ac:dyDescent="0.35">
      <c r="A54" s="3" t="s">
        <v>66</v>
      </c>
      <c r="B54" s="18">
        <v>45688</v>
      </c>
      <c r="C54" s="3" t="s">
        <v>12</v>
      </c>
      <c r="D54" s="3" t="s">
        <v>10</v>
      </c>
      <c r="E54" s="3">
        <v>38</v>
      </c>
      <c r="F54" s="3">
        <v>42423</v>
      </c>
      <c r="G54" s="3">
        <v>205.86</v>
      </c>
      <c r="H54" s="3">
        <v>4</v>
      </c>
      <c r="I54" s="3">
        <v>213.87</v>
      </c>
      <c r="J54" s="3">
        <v>855.47</v>
      </c>
      <c r="K54" s="3">
        <v>2.9</v>
      </c>
    </row>
    <row r="55" spans="1:11" x14ac:dyDescent="0.35">
      <c r="A55" s="3" t="s">
        <v>67</v>
      </c>
      <c r="B55" s="18">
        <v>45688</v>
      </c>
      <c r="C55" s="3" t="s">
        <v>12</v>
      </c>
      <c r="D55" s="3" t="s">
        <v>21</v>
      </c>
      <c r="E55" s="3">
        <v>31</v>
      </c>
      <c r="F55" s="3">
        <v>75938</v>
      </c>
      <c r="G55" s="3">
        <v>206.13</v>
      </c>
      <c r="H55" s="3">
        <v>5</v>
      </c>
      <c r="I55" s="3">
        <v>156.16999999999999</v>
      </c>
      <c r="J55" s="3">
        <v>780.87</v>
      </c>
      <c r="K55" s="3">
        <v>2.2000000000000002</v>
      </c>
    </row>
    <row r="56" spans="1:11" x14ac:dyDescent="0.35">
      <c r="A56" s="3" t="s">
        <v>68</v>
      </c>
      <c r="B56" s="18">
        <v>45689</v>
      </c>
      <c r="C56" s="3" t="s">
        <v>23</v>
      </c>
      <c r="D56" s="3" t="s">
        <v>18</v>
      </c>
      <c r="E56" s="3">
        <v>28</v>
      </c>
      <c r="F56" s="3">
        <v>55761</v>
      </c>
      <c r="G56" s="3">
        <v>381.88</v>
      </c>
      <c r="H56" s="3">
        <v>5</v>
      </c>
      <c r="I56" s="3">
        <v>295.85000000000002</v>
      </c>
      <c r="J56" s="3">
        <v>1479.27</v>
      </c>
      <c r="K56" s="3">
        <v>3.6</v>
      </c>
    </row>
    <row r="57" spans="1:11" x14ac:dyDescent="0.35">
      <c r="A57" s="3" t="s">
        <v>69</v>
      </c>
      <c r="B57" s="18">
        <v>45689</v>
      </c>
      <c r="C57" s="3" t="s">
        <v>14</v>
      </c>
      <c r="D57" s="3" t="s">
        <v>18</v>
      </c>
      <c r="E57" s="3">
        <v>41</v>
      </c>
      <c r="F57" s="3">
        <v>33524</v>
      </c>
      <c r="G57" s="3">
        <v>253.5</v>
      </c>
      <c r="H57" s="3">
        <v>2</v>
      </c>
      <c r="I57" s="3">
        <v>554.95000000000005</v>
      </c>
      <c r="J57" s="3">
        <v>1109.9000000000001</v>
      </c>
      <c r="K57" s="3">
        <v>2.2000000000000002</v>
      </c>
    </row>
    <row r="58" spans="1:11" x14ac:dyDescent="0.35">
      <c r="A58" s="3" t="s">
        <v>70</v>
      </c>
      <c r="B58" s="18">
        <v>45690</v>
      </c>
      <c r="C58" s="3" t="s">
        <v>23</v>
      </c>
      <c r="D58" s="3" t="s">
        <v>18</v>
      </c>
      <c r="E58" s="3">
        <v>45</v>
      </c>
      <c r="F58" s="3">
        <v>35972</v>
      </c>
      <c r="G58" s="3">
        <v>151.07</v>
      </c>
      <c r="H58" s="3">
        <v>1</v>
      </c>
      <c r="I58" s="3">
        <v>759.06</v>
      </c>
      <c r="J58" s="3">
        <v>759.06</v>
      </c>
      <c r="K58" s="3">
        <v>2</v>
      </c>
    </row>
    <row r="59" spans="1:11" x14ac:dyDescent="0.35">
      <c r="A59" s="3" t="s">
        <v>71</v>
      </c>
      <c r="B59" s="18">
        <v>45691</v>
      </c>
      <c r="C59" s="3" t="s">
        <v>12</v>
      </c>
      <c r="D59" s="3" t="s">
        <v>18</v>
      </c>
      <c r="E59" s="3">
        <v>44</v>
      </c>
      <c r="F59" s="3">
        <v>21999</v>
      </c>
      <c r="G59" s="3">
        <v>253.6</v>
      </c>
      <c r="H59" s="3">
        <v>4</v>
      </c>
      <c r="I59" s="3">
        <v>265.52</v>
      </c>
      <c r="J59" s="3">
        <v>1062.0999999999999</v>
      </c>
      <c r="K59" s="3">
        <v>3.1</v>
      </c>
    </row>
    <row r="60" spans="1:11" x14ac:dyDescent="0.35">
      <c r="A60" s="3" t="s">
        <v>72</v>
      </c>
      <c r="B60" s="18">
        <v>45691</v>
      </c>
      <c r="C60" s="3" t="s">
        <v>9</v>
      </c>
      <c r="D60" s="3" t="s">
        <v>10</v>
      </c>
      <c r="E60" s="3">
        <v>27</v>
      </c>
      <c r="F60" s="3">
        <v>35981</v>
      </c>
      <c r="G60" s="3">
        <v>113.39</v>
      </c>
      <c r="H60" s="3">
        <v>5</v>
      </c>
      <c r="I60" s="3">
        <v>131.63999999999999</v>
      </c>
      <c r="J60" s="3">
        <v>658.18</v>
      </c>
      <c r="K60" s="3">
        <v>2.1</v>
      </c>
    </row>
    <row r="61" spans="1:11" x14ac:dyDescent="0.35">
      <c r="A61" s="3" t="s">
        <v>73</v>
      </c>
      <c r="B61" s="18">
        <v>45692</v>
      </c>
      <c r="C61" s="3" t="s">
        <v>9</v>
      </c>
      <c r="D61" s="3" t="s">
        <v>18</v>
      </c>
      <c r="E61" s="3">
        <v>32</v>
      </c>
      <c r="F61" s="3">
        <v>31435</v>
      </c>
      <c r="G61" s="3">
        <v>129.37</v>
      </c>
      <c r="H61" s="3">
        <v>2</v>
      </c>
      <c r="I61" s="3">
        <v>358.76</v>
      </c>
      <c r="J61" s="3">
        <v>717.53</v>
      </c>
      <c r="K61" s="3">
        <v>2.5</v>
      </c>
    </row>
    <row r="62" spans="1:11" x14ac:dyDescent="0.35">
      <c r="A62" s="3" t="s">
        <v>74</v>
      </c>
      <c r="B62" s="18">
        <v>45692</v>
      </c>
      <c r="C62" s="3" t="s">
        <v>9</v>
      </c>
      <c r="D62" s="3" t="s">
        <v>21</v>
      </c>
      <c r="E62" s="3">
        <v>38</v>
      </c>
      <c r="F62" s="3">
        <v>42675</v>
      </c>
      <c r="G62" s="3">
        <v>274.27</v>
      </c>
      <c r="H62" s="3">
        <v>5</v>
      </c>
      <c r="I62" s="3">
        <v>239.65</v>
      </c>
      <c r="J62" s="3">
        <v>1198.24</v>
      </c>
      <c r="K62" s="3">
        <v>2.7</v>
      </c>
    </row>
    <row r="63" spans="1:11" x14ac:dyDescent="0.35">
      <c r="A63" s="3" t="s">
        <v>75</v>
      </c>
      <c r="B63" s="18">
        <v>45693</v>
      </c>
      <c r="C63" s="3" t="s">
        <v>12</v>
      </c>
      <c r="D63" s="3" t="s">
        <v>21</v>
      </c>
      <c r="E63" s="3">
        <v>45</v>
      </c>
      <c r="F63" s="3">
        <v>24014</v>
      </c>
      <c r="G63" s="3">
        <v>238.52</v>
      </c>
      <c r="H63" s="3">
        <v>7</v>
      </c>
      <c r="I63" s="3">
        <v>146.44999999999999</v>
      </c>
      <c r="J63" s="3">
        <v>1025.1600000000001</v>
      </c>
      <c r="K63" s="3">
        <v>2.6</v>
      </c>
    </row>
    <row r="64" spans="1:11" x14ac:dyDescent="0.35">
      <c r="A64" s="3" t="s">
        <v>76</v>
      </c>
      <c r="B64" s="18">
        <v>45694</v>
      </c>
      <c r="C64" s="3" t="s">
        <v>23</v>
      </c>
      <c r="D64" s="3" t="s">
        <v>18</v>
      </c>
      <c r="E64" s="3">
        <v>30</v>
      </c>
      <c r="F64" s="3">
        <v>47083</v>
      </c>
      <c r="G64" s="3">
        <v>461.68</v>
      </c>
      <c r="H64" s="3">
        <v>4</v>
      </c>
      <c r="I64" s="3">
        <v>418.5</v>
      </c>
      <c r="J64" s="3">
        <v>1674.01</v>
      </c>
      <c r="K64" s="3">
        <v>3.2</v>
      </c>
    </row>
    <row r="65" spans="1:11" x14ac:dyDescent="0.35">
      <c r="A65" s="3" t="s">
        <v>77</v>
      </c>
      <c r="B65" s="18">
        <v>45694</v>
      </c>
      <c r="C65" s="3" t="s">
        <v>9</v>
      </c>
      <c r="D65" s="3" t="s">
        <v>10</v>
      </c>
      <c r="E65" s="3">
        <v>33</v>
      </c>
      <c r="F65" s="3">
        <v>78149</v>
      </c>
      <c r="G65" s="3">
        <v>213.08</v>
      </c>
      <c r="H65" s="3">
        <v>4</v>
      </c>
      <c r="I65" s="3">
        <v>225.9</v>
      </c>
      <c r="J65" s="3">
        <v>903.59</v>
      </c>
      <c r="K65" s="3">
        <v>2.2999999999999998</v>
      </c>
    </row>
    <row r="66" spans="1:11" x14ac:dyDescent="0.35">
      <c r="A66" s="3" t="s">
        <v>78</v>
      </c>
      <c r="B66" s="18">
        <v>45695</v>
      </c>
      <c r="C66" s="3" t="s">
        <v>14</v>
      </c>
      <c r="D66" s="3" t="s">
        <v>18</v>
      </c>
      <c r="E66" s="3">
        <v>24</v>
      </c>
      <c r="F66" s="3">
        <v>34393</v>
      </c>
      <c r="G66" s="3">
        <v>311.26</v>
      </c>
      <c r="H66" s="3">
        <v>7</v>
      </c>
      <c r="I66" s="3">
        <v>186.08</v>
      </c>
      <c r="J66" s="3">
        <v>1302.55</v>
      </c>
      <c r="K66" s="3">
        <v>3.3</v>
      </c>
    </row>
    <row r="67" spans="1:11" x14ac:dyDescent="0.35">
      <c r="A67" s="3" t="s">
        <v>79</v>
      </c>
      <c r="B67" s="18">
        <v>45695</v>
      </c>
      <c r="C67" s="3" t="s">
        <v>12</v>
      </c>
      <c r="D67" s="3" t="s">
        <v>18</v>
      </c>
      <c r="E67" s="3">
        <v>23</v>
      </c>
      <c r="F67" s="3">
        <v>44394</v>
      </c>
      <c r="G67" s="3">
        <v>334.52</v>
      </c>
      <c r="H67" s="3">
        <v>3</v>
      </c>
      <c r="I67" s="3">
        <v>405.04</v>
      </c>
      <c r="J67" s="3">
        <v>1215.1099999999999</v>
      </c>
      <c r="K67" s="3">
        <v>2.7</v>
      </c>
    </row>
    <row r="68" spans="1:11" x14ac:dyDescent="0.35">
      <c r="A68" s="3" t="s">
        <v>80</v>
      </c>
      <c r="B68" s="18">
        <v>45696</v>
      </c>
      <c r="C68" s="3" t="s">
        <v>12</v>
      </c>
      <c r="D68" s="3" t="s">
        <v>16</v>
      </c>
      <c r="E68" s="3">
        <v>43</v>
      </c>
      <c r="F68" s="3">
        <v>51281</v>
      </c>
      <c r="G68" s="3">
        <v>55.89</v>
      </c>
      <c r="H68" s="3">
        <v>7</v>
      </c>
      <c r="I68" s="3">
        <v>59.76</v>
      </c>
      <c r="J68" s="3">
        <v>418.34</v>
      </c>
      <c r="K68" s="3">
        <v>2.2999999999999998</v>
      </c>
    </row>
    <row r="69" spans="1:11" x14ac:dyDescent="0.35">
      <c r="A69" s="3" t="s">
        <v>81</v>
      </c>
      <c r="B69" s="18">
        <v>45697</v>
      </c>
      <c r="C69" s="3" t="s">
        <v>23</v>
      </c>
      <c r="D69" s="3" t="s">
        <v>16</v>
      </c>
      <c r="E69" s="3">
        <v>49</v>
      </c>
      <c r="F69" s="3">
        <v>29714</v>
      </c>
      <c r="G69" s="3">
        <v>348.59</v>
      </c>
      <c r="H69" s="3">
        <v>6</v>
      </c>
      <c r="I69" s="3">
        <v>215.67</v>
      </c>
      <c r="J69" s="3">
        <v>1294.02</v>
      </c>
      <c r="K69" s="3">
        <v>2.7</v>
      </c>
    </row>
    <row r="70" spans="1:11" x14ac:dyDescent="0.35">
      <c r="A70" s="3" t="s">
        <v>82</v>
      </c>
      <c r="B70" s="18">
        <v>45697</v>
      </c>
      <c r="C70" s="3" t="s">
        <v>9</v>
      </c>
      <c r="D70" s="3" t="s">
        <v>10</v>
      </c>
      <c r="E70" s="3">
        <v>34</v>
      </c>
      <c r="F70" s="3">
        <v>40621</v>
      </c>
      <c r="G70" s="3">
        <v>130.12</v>
      </c>
      <c r="H70" s="3">
        <v>6</v>
      </c>
      <c r="I70" s="3">
        <v>104.78</v>
      </c>
      <c r="J70" s="3">
        <v>628.67999999999995</v>
      </c>
      <c r="K70" s="3">
        <v>1.6</v>
      </c>
    </row>
    <row r="71" spans="1:11" x14ac:dyDescent="0.35">
      <c r="A71" s="3" t="s">
        <v>83</v>
      </c>
      <c r="B71" s="18">
        <v>45698</v>
      </c>
      <c r="C71" s="3" t="s">
        <v>23</v>
      </c>
      <c r="D71" s="3" t="s">
        <v>21</v>
      </c>
      <c r="E71" s="3">
        <v>45</v>
      </c>
      <c r="F71" s="3">
        <v>36545</v>
      </c>
      <c r="G71" s="3">
        <v>482.48</v>
      </c>
      <c r="H71" s="3">
        <v>2</v>
      </c>
      <c r="I71" s="3">
        <v>928.1</v>
      </c>
      <c r="J71" s="3">
        <v>1856.21</v>
      </c>
      <c r="K71" s="3">
        <v>4.2</v>
      </c>
    </row>
    <row r="72" spans="1:11" x14ac:dyDescent="0.35">
      <c r="A72" s="3" t="s">
        <v>84</v>
      </c>
      <c r="B72" s="18">
        <v>45698</v>
      </c>
      <c r="C72" s="3" t="s">
        <v>23</v>
      </c>
      <c r="D72" s="3" t="s">
        <v>10</v>
      </c>
      <c r="E72" s="3">
        <v>39</v>
      </c>
      <c r="F72" s="3">
        <v>38133</v>
      </c>
      <c r="G72" s="3">
        <v>116.9</v>
      </c>
      <c r="H72" s="3">
        <v>4</v>
      </c>
      <c r="I72" s="3">
        <v>149.84</v>
      </c>
      <c r="J72" s="3">
        <v>599.37</v>
      </c>
      <c r="K72" s="3">
        <v>2.8</v>
      </c>
    </row>
    <row r="73" spans="1:11" x14ac:dyDescent="0.35">
      <c r="A73" s="3" t="s">
        <v>85</v>
      </c>
      <c r="B73" s="18">
        <v>45699</v>
      </c>
      <c r="C73" s="3" t="s">
        <v>12</v>
      </c>
      <c r="D73" s="3" t="s">
        <v>10</v>
      </c>
      <c r="E73" s="3">
        <v>29</v>
      </c>
      <c r="F73" s="3">
        <v>24674</v>
      </c>
      <c r="G73" s="3">
        <v>236.58</v>
      </c>
      <c r="H73" s="3">
        <v>3</v>
      </c>
      <c r="I73" s="3">
        <v>323.58999999999997</v>
      </c>
      <c r="J73" s="3">
        <v>970.77</v>
      </c>
      <c r="K73" s="3">
        <v>4.2</v>
      </c>
    </row>
    <row r="74" spans="1:11" x14ac:dyDescent="0.35">
      <c r="A74" s="3" t="s">
        <v>86</v>
      </c>
      <c r="B74" s="18">
        <v>45700</v>
      </c>
      <c r="C74" s="3" t="s">
        <v>14</v>
      </c>
      <c r="D74" s="3" t="s">
        <v>18</v>
      </c>
      <c r="E74" s="3">
        <v>39</v>
      </c>
      <c r="F74" s="3">
        <v>36763</v>
      </c>
      <c r="G74" s="3">
        <v>88.41</v>
      </c>
      <c r="H74" s="3">
        <v>3</v>
      </c>
      <c r="I74" s="3">
        <v>128.04</v>
      </c>
      <c r="J74" s="3">
        <v>384.12</v>
      </c>
      <c r="K74" s="3">
        <v>1.6</v>
      </c>
    </row>
    <row r="75" spans="1:11" x14ac:dyDescent="0.35">
      <c r="A75" s="3" t="s">
        <v>87</v>
      </c>
      <c r="B75" s="18">
        <v>45700</v>
      </c>
      <c r="C75" s="3" t="s">
        <v>9</v>
      </c>
      <c r="D75" s="3" t="s">
        <v>18</v>
      </c>
      <c r="E75" s="3">
        <v>50</v>
      </c>
      <c r="F75" s="3">
        <v>46583</v>
      </c>
      <c r="G75" s="3">
        <v>498.59</v>
      </c>
      <c r="H75" s="3">
        <v>5</v>
      </c>
      <c r="I75" s="3">
        <v>373.04</v>
      </c>
      <c r="J75" s="3">
        <v>1865.19</v>
      </c>
      <c r="K75" s="3">
        <v>3.5</v>
      </c>
    </row>
    <row r="76" spans="1:11" x14ac:dyDescent="0.35">
      <c r="A76" s="3" t="s">
        <v>88</v>
      </c>
      <c r="B76" s="18">
        <v>45701</v>
      </c>
      <c r="C76" s="3" t="s">
        <v>23</v>
      </c>
      <c r="D76" s="3" t="s">
        <v>18</v>
      </c>
      <c r="E76" s="3">
        <v>35</v>
      </c>
      <c r="F76" s="3">
        <v>75025</v>
      </c>
      <c r="G76" s="3">
        <v>275.99</v>
      </c>
      <c r="H76" s="3">
        <v>5</v>
      </c>
      <c r="I76" s="3">
        <v>228.96</v>
      </c>
      <c r="J76" s="3">
        <v>1144.81</v>
      </c>
      <c r="K76" s="3">
        <v>2.9</v>
      </c>
    </row>
    <row r="77" spans="1:11" x14ac:dyDescent="0.35">
      <c r="A77" s="3" t="s">
        <v>89</v>
      </c>
      <c r="B77" s="18">
        <v>45701</v>
      </c>
      <c r="C77" s="3" t="s">
        <v>14</v>
      </c>
      <c r="D77" s="3" t="s">
        <v>10</v>
      </c>
      <c r="E77" s="3">
        <v>51</v>
      </c>
      <c r="F77" s="3">
        <v>58667</v>
      </c>
      <c r="G77" s="3">
        <v>317.92</v>
      </c>
      <c r="H77" s="3">
        <v>7</v>
      </c>
      <c r="I77" s="3">
        <v>200.06</v>
      </c>
      <c r="J77" s="3">
        <v>1400.4</v>
      </c>
      <c r="K77" s="3">
        <v>3.8</v>
      </c>
    </row>
    <row r="78" spans="1:11" x14ac:dyDescent="0.35">
      <c r="A78" s="3" t="s">
        <v>90</v>
      </c>
      <c r="B78" s="18">
        <v>45702</v>
      </c>
      <c r="C78" s="3" t="s">
        <v>9</v>
      </c>
      <c r="D78" s="3" t="s">
        <v>21</v>
      </c>
      <c r="E78" s="3">
        <v>18</v>
      </c>
      <c r="F78" s="3">
        <v>106574</v>
      </c>
      <c r="G78" s="3">
        <v>80.180000000000007</v>
      </c>
      <c r="H78" s="3">
        <v>3</v>
      </c>
      <c r="I78" s="3">
        <v>147.32</v>
      </c>
      <c r="J78" s="3">
        <v>441.95</v>
      </c>
      <c r="K78" s="3">
        <v>2</v>
      </c>
    </row>
    <row r="79" spans="1:11" x14ac:dyDescent="0.35">
      <c r="A79" s="3" t="s">
        <v>91</v>
      </c>
      <c r="B79" s="18">
        <v>45703</v>
      </c>
      <c r="C79" s="3" t="s">
        <v>12</v>
      </c>
      <c r="D79" s="3" t="s">
        <v>10</v>
      </c>
      <c r="E79" s="3">
        <v>43</v>
      </c>
      <c r="F79" s="3">
        <v>24744</v>
      </c>
      <c r="G79" s="3">
        <v>387.48</v>
      </c>
      <c r="H79" s="3">
        <v>7</v>
      </c>
      <c r="I79" s="3">
        <v>209.64</v>
      </c>
      <c r="J79" s="3">
        <v>1467.47</v>
      </c>
      <c r="K79" s="3">
        <v>2.6</v>
      </c>
    </row>
    <row r="80" spans="1:11" x14ac:dyDescent="0.35">
      <c r="A80" s="3" t="s">
        <v>92</v>
      </c>
      <c r="B80" s="18">
        <v>45703</v>
      </c>
      <c r="C80" s="3" t="s">
        <v>23</v>
      </c>
      <c r="D80" s="3" t="s">
        <v>21</v>
      </c>
      <c r="E80" s="3">
        <v>36</v>
      </c>
      <c r="F80" s="3">
        <v>56171</v>
      </c>
      <c r="G80" s="3">
        <v>144.46</v>
      </c>
      <c r="H80" s="3">
        <v>7</v>
      </c>
      <c r="I80" s="3">
        <v>98.89</v>
      </c>
      <c r="J80" s="3">
        <v>692.22</v>
      </c>
      <c r="K80" s="3">
        <v>3.3</v>
      </c>
    </row>
    <row r="81" spans="1:11" x14ac:dyDescent="0.35">
      <c r="A81" s="3" t="s">
        <v>93</v>
      </c>
      <c r="B81" s="18">
        <v>45704</v>
      </c>
      <c r="C81" s="3" t="s">
        <v>12</v>
      </c>
      <c r="D81" s="3" t="s">
        <v>16</v>
      </c>
      <c r="E81" s="3">
        <v>32</v>
      </c>
      <c r="F81" s="3">
        <v>39802</v>
      </c>
      <c r="G81" s="3">
        <v>454.12</v>
      </c>
      <c r="H81" s="3">
        <v>5</v>
      </c>
      <c r="I81" s="3">
        <v>357.88</v>
      </c>
      <c r="J81" s="3">
        <v>1789.38</v>
      </c>
      <c r="K81" s="3">
        <v>3.4</v>
      </c>
    </row>
    <row r="82" spans="1:11" x14ac:dyDescent="0.35">
      <c r="A82" s="3" t="s">
        <v>94</v>
      </c>
      <c r="B82" s="18">
        <v>45704</v>
      </c>
      <c r="C82" s="3" t="s">
        <v>14</v>
      </c>
      <c r="D82" s="3" t="s">
        <v>21</v>
      </c>
      <c r="E82" s="3">
        <v>36</v>
      </c>
      <c r="F82" s="3">
        <v>108543</v>
      </c>
      <c r="G82" s="3">
        <v>142.31</v>
      </c>
      <c r="H82" s="3">
        <v>4</v>
      </c>
      <c r="I82" s="3">
        <v>164.44</v>
      </c>
      <c r="J82" s="3">
        <v>657.77</v>
      </c>
      <c r="K82" s="3">
        <v>3.1</v>
      </c>
    </row>
    <row r="83" spans="1:11" x14ac:dyDescent="0.35">
      <c r="A83" s="3" t="s">
        <v>95</v>
      </c>
      <c r="B83" s="18">
        <v>45705</v>
      </c>
      <c r="C83" s="3" t="s">
        <v>14</v>
      </c>
      <c r="D83" s="3" t="s">
        <v>21</v>
      </c>
      <c r="E83" s="3">
        <v>18</v>
      </c>
      <c r="F83" s="3">
        <v>24242</v>
      </c>
      <c r="G83" s="3">
        <v>135.81</v>
      </c>
      <c r="H83" s="3">
        <v>7</v>
      </c>
      <c r="I83" s="3">
        <v>95.27</v>
      </c>
      <c r="J83" s="3">
        <v>666.91</v>
      </c>
      <c r="K83" s="3">
        <v>3</v>
      </c>
    </row>
    <row r="84" spans="1:11" x14ac:dyDescent="0.35">
      <c r="A84" s="3" t="s">
        <v>96</v>
      </c>
      <c r="B84" s="18">
        <v>45706</v>
      </c>
      <c r="C84" s="3" t="s">
        <v>14</v>
      </c>
      <c r="D84" s="3" t="s">
        <v>21</v>
      </c>
      <c r="E84" s="3">
        <v>33</v>
      </c>
      <c r="F84" s="3">
        <v>23864</v>
      </c>
      <c r="G84" s="3">
        <v>66.45</v>
      </c>
      <c r="H84" s="3">
        <v>1</v>
      </c>
      <c r="I84" s="3">
        <v>471.27</v>
      </c>
      <c r="J84" s="3">
        <v>471.27</v>
      </c>
      <c r="K84" s="3">
        <v>2.2999999999999998</v>
      </c>
    </row>
    <row r="85" spans="1:11" x14ac:dyDescent="0.35">
      <c r="A85" s="3" t="s">
        <v>97</v>
      </c>
      <c r="B85" s="18">
        <v>45706</v>
      </c>
      <c r="C85" s="3" t="s">
        <v>14</v>
      </c>
      <c r="D85" s="3" t="s">
        <v>18</v>
      </c>
      <c r="E85" s="3">
        <v>39</v>
      </c>
      <c r="F85" s="3">
        <v>26911</v>
      </c>
      <c r="G85" s="3">
        <v>262.43</v>
      </c>
      <c r="H85" s="3">
        <v>4</v>
      </c>
      <c r="I85" s="3">
        <v>266.18</v>
      </c>
      <c r="J85" s="3">
        <v>1064.7</v>
      </c>
      <c r="K85" s="3">
        <v>2.8</v>
      </c>
    </row>
    <row r="86" spans="1:11" x14ac:dyDescent="0.35">
      <c r="A86" s="3" t="s">
        <v>98</v>
      </c>
      <c r="B86" s="18">
        <v>45707</v>
      </c>
      <c r="C86" s="3" t="s">
        <v>23</v>
      </c>
      <c r="D86" s="3" t="s">
        <v>18</v>
      </c>
      <c r="E86" s="3">
        <v>50</v>
      </c>
      <c r="F86" s="3">
        <v>15000</v>
      </c>
      <c r="G86" s="3">
        <v>304.18</v>
      </c>
      <c r="H86" s="3">
        <v>3</v>
      </c>
      <c r="I86" s="3">
        <v>382.55</v>
      </c>
      <c r="J86" s="3">
        <v>1147.6600000000001</v>
      </c>
      <c r="K86" s="3">
        <v>2.7</v>
      </c>
    </row>
    <row r="87" spans="1:11" x14ac:dyDescent="0.35">
      <c r="A87" s="3" t="s">
        <v>99</v>
      </c>
      <c r="B87" s="18">
        <v>45707</v>
      </c>
      <c r="C87" s="3" t="s">
        <v>9</v>
      </c>
      <c r="D87" s="3" t="s">
        <v>21</v>
      </c>
      <c r="E87" s="3">
        <v>30</v>
      </c>
      <c r="F87" s="3">
        <v>27921</v>
      </c>
      <c r="G87" s="3">
        <v>79.569999999999993</v>
      </c>
      <c r="H87" s="3">
        <v>3</v>
      </c>
      <c r="I87" s="3">
        <v>160.05000000000001</v>
      </c>
      <c r="J87" s="3">
        <v>480.15</v>
      </c>
      <c r="K87" s="3">
        <v>2.4</v>
      </c>
    </row>
    <row r="88" spans="1:11" x14ac:dyDescent="0.35">
      <c r="A88" s="3" t="s">
        <v>100</v>
      </c>
      <c r="B88" s="18">
        <v>45708</v>
      </c>
      <c r="C88" s="3" t="s">
        <v>23</v>
      </c>
      <c r="D88" s="3" t="s">
        <v>21</v>
      </c>
      <c r="E88" s="3">
        <v>27</v>
      </c>
      <c r="F88" s="3">
        <v>24846</v>
      </c>
      <c r="G88" s="3">
        <v>398.99</v>
      </c>
      <c r="H88" s="3">
        <v>7</v>
      </c>
      <c r="I88" s="3">
        <v>224.67</v>
      </c>
      <c r="J88" s="3">
        <v>1572.66</v>
      </c>
      <c r="K88" s="3">
        <v>3.9</v>
      </c>
    </row>
    <row r="89" spans="1:11" x14ac:dyDescent="0.35">
      <c r="A89" s="3" t="s">
        <v>101</v>
      </c>
      <c r="B89" s="18">
        <v>45709</v>
      </c>
      <c r="C89" s="3" t="s">
        <v>12</v>
      </c>
      <c r="D89" s="3" t="s">
        <v>10</v>
      </c>
      <c r="E89" s="3">
        <v>30</v>
      </c>
      <c r="F89" s="3">
        <v>39152</v>
      </c>
      <c r="G89" s="3">
        <v>253.98</v>
      </c>
      <c r="H89" s="3">
        <v>4</v>
      </c>
      <c r="I89" s="3">
        <v>235.15</v>
      </c>
      <c r="J89" s="3">
        <v>940.61</v>
      </c>
      <c r="K89" s="3">
        <v>2.2999999999999998</v>
      </c>
    </row>
    <row r="90" spans="1:11" x14ac:dyDescent="0.35">
      <c r="A90" s="3" t="s">
        <v>102</v>
      </c>
      <c r="B90" s="18">
        <v>45709</v>
      </c>
      <c r="C90" s="3" t="s">
        <v>14</v>
      </c>
      <c r="D90" s="3" t="s">
        <v>21</v>
      </c>
      <c r="E90" s="3">
        <v>44</v>
      </c>
      <c r="F90" s="3">
        <v>43083</v>
      </c>
      <c r="G90" s="3">
        <v>285.98</v>
      </c>
      <c r="H90" s="3">
        <v>5</v>
      </c>
      <c r="I90" s="3">
        <v>227.15</v>
      </c>
      <c r="J90" s="3">
        <v>1135.77</v>
      </c>
      <c r="K90" s="3">
        <v>3</v>
      </c>
    </row>
    <row r="91" spans="1:11" x14ac:dyDescent="0.35">
      <c r="A91" s="3" t="s">
        <v>103</v>
      </c>
      <c r="B91" s="18">
        <v>45710</v>
      </c>
      <c r="C91" s="3" t="s">
        <v>14</v>
      </c>
      <c r="D91" s="3" t="s">
        <v>18</v>
      </c>
      <c r="E91" s="3">
        <v>38</v>
      </c>
      <c r="F91" s="3">
        <v>92789</v>
      </c>
      <c r="G91" s="3">
        <v>248.34</v>
      </c>
      <c r="H91" s="3">
        <v>5</v>
      </c>
      <c r="I91" s="3">
        <v>189.74</v>
      </c>
      <c r="J91" s="3">
        <v>948.68</v>
      </c>
      <c r="K91" s="3">
        <v>2.1</v>
      </c>
    </row>
    <row r="92" spans="1:11" x14ac:dyDescent="0.35">
      <c r="A92" s="3" t="s">
        <v>104</v>
      </c>
      <c r="B92" s="18">
        <v>45710</v>
      </c>
      <c r="C92" s="3" t="s">
        <v>23</v>
      </c>
      <c r="D92" s="3" t="s">
        <v>18</v>
      </c>
      <c r="E92" s="3">
        <v>30</v>
      </c>
      <c r="F92" s="3">
        <v>58408</v>
      </c>
      <c r="G92" s="3">
        <v>480</v>
      </c>
      <c r="H92" s="3">
        <v>40</v>
      </c>
      <c r="I92" s="3">
        <v>173.78</v>
      </c>
      <c r="J92" s="3">
        <v>4800</v>
      </c>
      <c r="K92" s="3">
        <v>2.2999999999999998</v>
      </c>
    </row>
    <row r="93" spans="1:11" x14ac:dyDescent="0.35">
      <c r="A93" s="3" t="s">
        <v>105</v>
      </c>
      <c r="B93" s="18">
        <v>45711</v>
      </c>
      <c r="C93" s="3" t="s">
        <v>9</v>
      </c>
      <c r="D93" s="3" t="s">
        <v>10</v>
      </c>
      <c r="E93" s="3">
        <v>40</v>
      </c>
      <c r="F93" s="3">
        <v>27216</v>
      </c>
      <c r="G93" s="3">
        <v>301.83999999999997</v>
      </c>
      <c r="H93" s="3">
        <v>3</v>
      </c>
      <c r="I93" s="3">
        <v>351.34</v>
      </c>
      <c r="J93" s="3">
        <v>1054.03</v>
      </c>
      <c r="K93" s="3">
        <v>2.9</v>
      </c>
    </row>
    <row r="94" spans="1:11" x14ac:dyDescent="0.35">
      <c r="A94" s="3" t="s">
        <v>106</v>
      </c>
      <c r="B94" s="18">
        <v>45712</v>
      </c>
      <c r="C94" s="3" t="s">
        <v>9</v>
      </c>
      <c r="D94" s="3" t="s">
        <v>21</v>
      </c>
      <c r="E94" s="3">
        <v>36</v>
      </c>
      <c r="F94" s="3">
        <v>23174</v>
      </c>
      <c r="G94" s="3">
        <v>119.86</v>
      </c>
      <c r="H94" s="3">
        <v>2</v>
      </c>
      <c r="I94" s="3">
        <v>274.42</v>
      </c>
      <c r="J94" s="3">
        <v>548.84</v>
      </c>
      <c r="K94" s="3">
        <v>1.2</v>
      </c>
    </row>
    <row r="95" spans="1:11" x14ac:dyDescent="0.35">
      <c r="A95" s="3" t="s">
        <v>107</v>
      </c>
      <c r="B95" s="18">
        <v>45712</v>
      </c>
      <c r="C95" s="3" t="s">
        <v>12</v>
      </c>
      <c r="D95" s="3" t="s">
        <v>16</v>
      </c>
      <c r="E95" s="3">
        <v>45</v>
      </c>
      <c r="F95" s="3">
        <v>46442</v>
      </c>
      <c r="G95" s="3">
        <v>131.87</v>
      </c>
      <c r="H95" s="3">
        <v>6</v>
      </c>
      <c r="I95" s="3">
        <v>110.36</v>
      </c>
      <c r="J95" s="3">
        <v>662.16</v>
      </c>
      <c r="K95" s="3">
        <v>3.8</v>
      </c>
    </row>
    <row r="96" spans="1:11" x14ac:dyDescent="0.35">
      <c r="A96" s="3" t="s">
        <v>108</v>
      </c>
      <c r="B96" s="18">
        <v>45713</v>
      </c>
      <c r="C96" s="3" t="s">
        <v>9</v>
      </c>
      <c r="D96" s="3" t="s">
        <v>10</v>
      </c>
      <c r="E96" s="3">
        <v>28</v>
      </c>
      <c r="F96" s="3">
        <v>18768</v>
      </c>
      <c r="G96" s="3">
        <v>437.8</v>
      </c>
      <c r="H96" s="3">
        <v>5</v>
      </c>
      <c r="I96" s="3">
        <v>347.24</v>
      </c>
      <c r="J96" s="3">
        <v>1736.2</v>
      </c>
      <c r="K96" s="3">
        <v>2.8</v>
      </c>
    </row>
    <row r="97" spans="1:11" x14ac:dyDescent="0.35">
      <c r="A97" s="3" t="s">
        <v>109</v>
      </c>
      <c r="B97" s="18">
        <v>45713</v>
      </c>
      <c r="C97" s="3" t="s">
        <v>12</v>
      </c>
      <c r="D97" s="3" t="s">
        <v>18</v>
      </c>
      <c r="E97" s="3">
        <v>32</v>
      </c>
      <c r="F97" s="3">
        <v>90738</v>
      </c>
      <c r="G97" s="3">
        <v>475.75</v>
      </c>
      <c r="H97" s="3">
        <v>4</v>
      </c>
      <c r="I97" s="3">
        <v>431.78</v>
      </c>
      <c r="J97" s="3">
        <v>1727.14</v>
      </c>
      <c r="K97" s="3">
        <v>3.5</v>
      </c>
    </row>
    <row r="98" spans="1:11" x14ac:dyDescent="0.35">
      <c r="A98" s="3" t="s">
        <v>110</v>
      </c>
      <c r="B98" s="18">
        <v>45714</v>
      </c>
      <c r="C98" s="3" t="s">
        <v>12</v>
      </c>
      <c r="D98" s="3" t="s">
        <v>21</v>
      </c>
      <c r="E98" s="3">
        <v>31</v>
      </c>
      <c r="F98" s="3">
        <v>65494</v>
      </c>
      <c r="G98" s="3">
        <v>217.99</v>
      </c>
      <c r="H98" s="3">
        <v>5</v>
      </c>
      <c r="I98" s="3">
        <v>172.63</v>
      </c>
      <c r="J98" s="3">
        <v>863.15</v>
      </c>
      <c r="K98" s="3">
        <v>3.4</v>
      </c>
    </row>
    <row r="99" spans="1:11" x14ac:dyDescent="0.35">
      <c r="A99" s="3" t="s">
        <v>111</v>
      </c>
      <c r="B99" s="18">
        <v>45715</v>
      </c>
      <c r="C99" s="3" t="s">
        <v>12</v>
      </c>
      <c r="D99" s="3" t="s">
        <v>10</v>
      </c>
      <c r="E99" s="3">
        <v>20</v>
      </c>
      <c r="F99" s="3">
        <v>28722</v>
      </c>
      <c r="G99" s="3">
        <v>171.84</v>
      </c>
      <c r="H99" s="3">
        <v>4</v>
      </c>
      <c r="I99" s="3">
        <v>227.6</v>
      </c>
      <c r="J99" s="3">
        <v>910.38</v>
      </c>
      <c r="K99" s="3">
        <v>2.2000000000000002</v>
      </c>
    </row>
    <row r="100" spans="1:11" x14ac:dyDescent="0.35">
      <c r="A100" s="3" t="s">
        <v>112</v>
      </c>
      <c r="B100" s="18">
        <v>45715</v>
      </c>
      <c r="C100" s="3" t="s">
        <v>9</v>
      </c>
      <c r="D100" s="3" t="s">
        <v>21</v>
      </c>
      <c r="E100" s="3">
        <v>38</v>
      </c>
      <c r="F100" s="3">
        <v>15420</v>
      </c>
      <c r="G100" s="3">
        <v>339.8</v>
      </c>
      <c r="H100" s="3">
        <v>6</v>
      </c>
      <c r="I100" s="3">
        <v>196.92</v>
      </c>
      <c r="J100" s="3">
        <v>1181.52</v>
      </c>
      <c r="K100" s="3">
        <v>1.6</v>
      </c>
    </row>
    <row r="101" spans="1:11" x14ac:dyDescent="0.35">
      <c r="A101" s="3" t="s">
        <v>113</v>
      </c>
      <c r="B101" s="18">
        <v>45716</v>
      </c>
      <c r="C101" s="3" t="s">
        <v>14</v>
      </c>
      <c r="D101" s="3" t="s">
        <v>10</v>
      </c>
      <c r="E101" s="3">
        <v>38</v>
      </c>
      <c r="F101" s="3">
        <v>71463</v>
      </c>
      <c r="G101" s="3">
        <v>233.93</v>
      </c>
      <c r="H101" s="3">
        <v>3</v>
      </c>
      <c r="I101" s="3">
        <v>260.89</v>
      </c>
      <c r="J101" s="3">
        <v>782.67</v>
      </c>
      <c r="K101" s="3">
        <v>2.4</v>
      </c>
    </row>
    <row r="102" spans="1:11" x14ac:dyDescent="0.35">
      <c r="A102" s="3" t="s">
        <v>114</v>
      </c>
      <c r="B102" s="18">
        <v>45716</v>
      </c>
      <c r="C102" s="3" t="s">
        <v>12</v>
      </c>
      <c r="D102" s="3" t="s">
        <v>16</v>
      </c>
      <c r="E102" s="3">
        <v>35</v>
      </c>
      <c r="F102" s="3">
        <v>34294</v>
      </c>
      <c r="G102" s="3">
        <v>61.42</v>
      </c>
      <c r="H102" s="3">
        <v>5</v>
      </c>
      <c r="I102" s="3">
        <v>88.35</v>
      </c>
      <c r="J102" s="3">
        <v>441.75</v>
      </c>
      <c r="K102" s="3">
        <v>1.8</v>
      </c>
    </row>
    <row r="103" spans="1:11" x14ac:dyDescent="0.35">
      <c r="A103" s="3" t="s">
        <v>115</v>
      </c>
      <c r="B103" s="18">
        <v>45717</v>
      </c>
      <c r="C103" s="3" t="s">
        <v>23</v>
      </c>
      <c r="D103" s="3" t="s">
        <v>10</v>
      </c>
      <c r="E103" s="3">
        <v>33</v>
      </c>
      <c r="F103" s="3">
        <v>67434</v>
      </c>
      <c r="G103" s="3">
        <v>120.27</v>
      </c>
      <c r="H103" s="3">
        <v>7</v>
      </c>
      <c r="I103" s="3">
        <v>87.81</v>
      </c>
      <c r="J103" s="3">
        <v>614.70000000000005</v>
      </c>
      <c r="K103" s="3">
        <v>1.1000000000000001</v>
      </c>
    </row>
    <row r="104" spans="1:11" x14ac:dyDescent="0.35">
      <c r="A104" s="3" t="s">
        <v>116</v>
      </c>
      <c r="B104" s="18">
        <v>45718</v>
      </c>
      <c r="C104" s="3" t="s">
        <v>14</v>
      </c>
      <c r="D104" s="3" t="s">
        <v>21</v>
      </c>
      <c r="E104" s="3">
        <v>21</v>
      </c>
      <c r="F104" s="3">
        <v>16363</v>
      </c>
      <c r="G104" s="3">
        <v>372.19</v>
      </c>
      <c r="H104" s="3">
        <v>4</v>
      </c>
      <c r="I104" s="3">
        <v>344.83</v>
      </c>
      <c r="J104" s="3">
        <v>1379.31</v>
      </c>
      <c r="K104" s="3">
        <v>3.4</v>
      </c>
    </row>
    <row r="105" spans="1:11" x14ac:dyDescent="0.35">
      <c r="A105" s="3" t="s">
        <v>117</v>
      </c>
      <c r="B105" s="18">
        <v>45718</v>
      </c>
      <c r="C105" s="3" t="s">
        <v>12</v>
      </c>
      <c r="D105" s="3" t="s">
        <v>21</v>
      </c>
      <c r="E105" s="3">
        <v>31</v>
      </c>
      <c r="F105" s="3">
        <v>26912</v>
      </c>
      <c r="G105" s="3">
        <v>346.52</v>
      </c>
      <c r="H105" s="3">
        <v>3</v>
      </c>
      <c r="I105" s="3">
        <v>478.51</v>
      </c>
      <c r="J105" s="3">
        <v>1435.53</v>
      </c>
      <c r="K105" s="3">
        <v>3.4</v>
      </c>
    </row>
    <row r="106" spans="1:11" x14ac:dyDescent="0.35">
      <c r="A106" s="3" t="s">
        <v>118</v>
      </c>
      <c r="B106" s="18">
        <v>45719</v>
      </c>
      <c r="C106" s="3" t="s">
        <v>9</v>
      </c>
      <c r="D106" s="3" t="s">
        <v>10</v>
      </c>
      <c r="E106" s="3">
        <v>32</v>
      </c>
      <c r="F106" s="3">
        <v>36411</v>
      </c>
      <c r="G106" s="3">
        <v>62.19</v>
      </c>
      <c r="H106" s="3">
        <v>2</v>
      </c>
      <c r="I106" s="3">
        <v>244.26</v>
      </c>
      <c r="J106" s="3">
        <v>488.51</v>
      </c>
      <c r="K106" s="3">
        <v>3.1</v>
      </c>
    </row>
    <row r="107" spans="1:11" x14ac:dyDescent="0.35">
      <c r="A107" s="3" t="s">
        <v>119</v>
      </c>
      <c r="B107" s="18">
        <v>45720</v>
      </c>
      <c r="C107" s="3" t="s">
        <v>9</v>
      </c>
      <c r="D107" s="3" t="s">
        <v>21</v>
      </c>
      <c r="E107" s="3">
        <v>27</v>
      </c>
      <c r="F107" s="3">
        <v>37179</v>
      </c>
      <c r="G107" s="3">
        <v>149.88999999999999</v>
      </c>
      <c r="H107" s="3">
        <v>4</v>
      </c>
      <c r="I107" s="3">
        <v>176.13</v>
      </c>
      <c r="J107" s="3">
        <v>704.52</v>
      </c>
      <c r="K107" s="3">
        <v>1.9</v>
      </c>
    </row>
    <row r="108" spans="1:11" x14ac:dyDescent="0.35">
      <c r="A108" s="3" t="s">
        <v>120</v>
      </c>
      <c r="B108" s="18">
        <v>45720</v>
      </c>
      <c r="C108" s="3" t="s">
        <v>23</v>
      </c>
      <c r="D108" s="3" t="s">
        <v>21</v>
      </c>
      <c r="E108" s="3">
        <v>33</v>
      </c>
      <c r="F108" s="3">
        <v>28998</v>
      </c>
      <c r="G108" s="3">
        <v>153.97999999999999</v>
      </c>
      <c r="H108" s="3">
        <v>6</v>
      </c>
      <c r="I108" s="3">
        <v>110.05</v>
      </c>
      <c r="J108" s="3">
        <v>660.31</v>
      </c>
      <c r="K108" s="3">
        <v>1.6</v>
      </c>
    </row>
    <row r="109" spans="1:11" x14ac:dyDescent="0.35">
      <c r="A109" s="3" t="s">
        <v>121</v>
      </c>
      <c r="B109" s="18">
        <v>45721</v>
      </c>
      <c r="C109" s="3" t="s">
        <v>9</v>
      </c>
      <c r="D109" s="3" t="s">
        <v>18</v>
      </c>
      <c r="E109" s="3">
        <v>39</v>
      </c>
      <c r="F109" s="3">
        <v>49584</v>
      </c>
      <c r="G109" s="3">
        <v>352.35</v>
      </c>
      <c r="H109" s="3">
        <v>2</v>
      </c>
      <c r="I109" s="3">
        <v>733.66</v>
      </c>
      <c r="J109" s="3">
        <v>1467.32</v>
      </c>
      <c r="K109" s="3">
        <v>3</v>
      </c>
    </row>
    <row r="110" spans="1:11" x14ac:dyDescent="0.35">
      <c r="A110" s="3" t="s">
        <v>122</v>
      </c>
      <c r="B110" s="18">
        <v>45721</v>
      </c>
      <c r="C110" s="3" t="s">
        <v>23</v>
      </c>
      <c r="D110" s="3" t="s">
        <v>10</v>
      </c>
      <c r="E110" s="3">
        <v>54</v>
      </c>
      <c r="F110" s="3">
        <v>21294</v>
      </c>
      <c r="G110" s="3">
        <v>58.87</v>
      </c>
      <c r="H110" s="3">
        <v>2</v>
      </c>
      <c r="I110" s="3">
        <v>255.2</v>
      </c>
      <c r="J110" s="3">
        <v>510.4</v>
      </c>
      <c r="K110" s="3">
        <v>2.2999999999999998</v>
      </c>
    </row>
    <row r="111" spans="1:11" x14ac:dyDescent="0.35">
      <c r="A111" s="3" t="s">
        <v>123</v>
      </c>
      <c r="B111" s="18">
        <v>45722</v>
      </c>
      <c r="C111" s="3" t="s">
        <v>9</v>
      </c>
      <c r="D111" s="3" t="s">
        <v>21</v>
      </c>
      <c r="E111" s="3">
        <v>37</v>
      </c>
      <c r="F111" s="3">
        <v>33820</v>
      </c>
      <c r="G111" s="3">
        <v>96.85</v>
      </c>
      <c r="H111" s="3">
        <v>1</v>
      </c>
      <c r="I111" s="3">
        <v>571.99</v>
      </c>
      <c r="J111" s="3">
        <v>571.99</v>
      </c>
      <c r="K111" s="3">
        <v>3</v>
      </c>
    </row>
    <row r="112" spans="1:11" x14ac:dyDescent="0.35">
      <c r="A112" s="3" t="s">
        <v>124</v>
      </c>
      <c r="B112" s="18">
        <v>45723</v>
      </c>
      <c r="C112" s="3" t="s">
        <v>14</v>
      </c>
      <c r="D112" s="3" t="s">
        <v>16</v>
      </c>
      <c r="E112" s="3">
        <v>38</v>
      </c>
      <c r="F112" s="3">
        <v>38567</v>
      </c>
      <c r="G112" s="3">
        <v>409.96</v>
      </c>
      <c r="H112" s="3">
        <v>5</v>
      </c>
      <c r="I112" s="3">
        <v>345.92</v>
      </c>
      <c r="J112" s="3">
        <v>1729.6</v>
      </c>
      <c r="K112" s="3">
        <v>4.3</v>
      </c>
    </row>
    <row r="113" spans="1:11" x14ac:dyDescent="0.35">
      <c r="A113" s="3" t="s">
        <v>125</v>
      </c>
      <c r="B113" s="18">
        <v>45723</v>
      </c>
      <c r="C113" s="3" t="s">
        <v>14</v>
      </c>
      <c r="D113" s="3" t="s">
        <v>21</v>
      </c>
      <c r="E113" s="3">
        <v>34</v>
      </c>
      <c r="F113" s="3">
        <v>46968</v>
      </c>
      <c r="G113" s="3">
        <v>130.35</v>
      </c>
      <c r="H113" s="3">
        <v>4</v>
      </c>
      <c r="I113" s="3">
        <v>150.38</v>
      </c>
      <c r="J113" s="3">
        <v>601.51</v>
      </c>
      <c r="K113" s="3">
        <v>3.2</v>
      </c>
    </row>
    <row r="114" spans="1:11" x14ac:dyDescent="0.35">
      <c r="A114" s="3" t="s">
        <v>126</v>
      </c>
      <c r="B114" s="18">
        <v>45724</v>
      </c>
      <c r="C114" s="3" t="s">
        <v>12</v>
      </c>
      <c r="D114" s="3" t="s">
        <v>16</v>
      </c>
      <c r="E114" s="3">
        <v>18</v>
      </c>
      <c r="F114" s="3">
        <v>51834</v>
      </c>
      <c r="G114" s="3">
        <v>343.74</v>
      </c>
      <c r="H114" s="3">
        <v>2</v>
      </c>
      <c r="I114" s="3">
        <v>623.96</v>
      </c>
      <c r="J114" s="3">
        <v>1247.93</v>
      </c>
      <c r="K114" s="3">
        <v>3.2</v>
      </c>
    </row>
    <row r="115" spans="1:11" x14ac:dyDescent="0.35">
      <c r="A115" s="3" t="s">
        <v>127</v>
      </c>
      <c r="B115" s="18">
        <v>45724</v>
      </c>
      <c r="C115" s="3" t="s">
        <v>9</v>
      </c>
      <c r="D115" s="3" t="s">
        <v>21</v>
      </c>
      <c r="E115" s="3">
        <v>35</v>
      </c>
      <c r="F115" s="3">
        <v>20696</v>
      </c>
      <c r="G115" s="3">
        <v>157.18</v>
      </c>
      <c r="H115" s="3">
        <v>1</v>
      </c>
      <c r="I115" s="3">
        <v>717.62</v>
      </c>
      <c r="J115" s="3">
        <v>717.62</v>
      </c>
      <c r="K115" s="3">
        <v>3.1</v>
      </c>
    </row>
    <row r="116" spans="1:11" x14ac:dyDescent="0.35">
      <c r="A116" s="3" t="s">
        <v>128</v>
      </c>
      <c r="B116" s="18">
        <v>45725</v>
      </c>
      <c r="C116" s="3" t="s">
        <v>23</v>
      </c>
      <c r="D116" s="3" t="s">
        <v>16</v>
      </c>
      <c r="E116" s="3">
        <v>36</v>
      </c>
      <c r="F116" s="3">
        <v>16864</v>
      </c>
      <c r="G116" s="3">
        <v>94.75</v>
      </c>
      <c r="H116" s="3">
        <v>6</v>
      </c>
      <c r="I116" s="3">
        <v>94.92</v>
      </c>
      <c r="J116" s="3">
        <v>569.54999999999995</v>
      </c>
      <c r="K116" s="3">
        <v>2.1</v>
      </c>
    </row>
    <row r="117" spans="1:11" x14ac:dyDescent="0.35">
      <c r="A117" s="3" t="s">
        <v>129</v>
      </c>
      <c r="B117" s="18">
        <v>45726</v>
      </c>
      <c r="C117" s="3" t="s">
        <v>12</v>
      </c>
      <c r="D117" s="3" t="s">
        <v>18</v>
      </c>
      <c r="E117" s="3">
        <v>60</v>
      </c>
      <c r="F117" s="3">
        <v>68792</v>
      </c>
      <c r="G117" s="3">
        <v>159.43</v>
      </c>
      <c r="H117" s="3">
        <v>3</v>
      </c>
      <c r="I117" s="3">
        <v>266.55</v>
      </c>
      <c r="J117" s="3">
        <v>799.64</v>
      </c>
      <c r="K117" s="3">
        <v>2.8</v>
      </c>
    </row>
    <row r="118" spans="1:11" x14ac:dyDescent="0.35">
      <c r="A118" s="3" t="s">
        <v>130</v>
      </c>
      <c r="B118" s="18">
        <v>45726</v>
      </c>
      <c r="C118" s="3" t="s">
        <v>12</v>
      </c>
      <c r="D118" s="3" t="s">
        <v>18</v>
      </c>
      <c r="E118" s="3">
        <v>33</v>
      </c>
      <c r="F118" s="3">
        <v>42880</v>
      </c>
      <c r="G118" s="3">
        <v>375.02</v>
      </c>
      <c r="H118" s="3">
        <v>7</v>
      </c>
      <c r="I118" s="3">
        <v>207.25</v>
      </c>
      <c r="J118" s="3">
        <v>1450.77</v>
      </c>
      <c r="K118" s="3">
        <v>2.5</v>
      </c>
    </row>
    <row r="119" spans="1:11" x14ac:dyDescent="0.35">
      <c r="A119" s="3" t="s">
        <v>131</v>
      </c>
      <c r="B119" s="18">
        <v>45727</v>
      </c>
      <c r="C119" s="3" t="s">
        <v>14</v>
      </c>
      <c r="D119" s="3" t="s">
        <v>16</v>
      </c>
      <c r="E119" s="3">
        <v>38</v>
      </c>
      <c r="F119" s="3">
        <v>24978</v>
      </c>
      <c r="G119" s="3">
        <v>435.06</v>
      </c>
      <c r="H119" s="3">
        <v>7</v>
      </c>
      <c r="I119" s="3">
        <v>241.48</v>
      </c>
      <c r="J119" s="3">
        <v>1690.36</v>
      </c>
      <c r="K119" s="3">
        <v>3.5</v>
      </c>
    </row>
    <row r="120" spans="1:11" x14ac:dyDescent="0.35">
      <c r="A120" s="3" t="s">
        <v>132</v>
      </c>
      <c r="B120" s="18">
        <v>45727</v>
      </c>
      <c r="C120" s="3" t="s">
        <v>23</v>
      </c>
      <c r="D120" s="3" t="s">
        <v>21</v>
      </c>
      <c r="E120" s="3">
        <v>35</v>
      </c>
      <c r="F120" s="3">
        <v>78872</v>
      </c>
      <c r="G120" s="3">
        <v>423.6</v>
      </c>
      <c r="H120" s="3">
        <v>4</v>
      </c>
      <c r="I120" s="3">
        <v>381.35</v>
      </c>
      <c r="J120" s="3">
        <v>1525.4</v>
      </c>
      <c r="K120" s="3">
        <v>3.4</v>
      </c>
    </row>
    <row r="121" spans="1:11" x14ac:dyDescent="0.35">
      <c r="A121" s="3" t="s">
        <v>133</v>
      </c>
      <c r="B121" s="18">
        <v>45728</v>
      </c>
      <c r="C121" s="3" t="s">
        <v>14</v>
      </c>
      <c r="D121" s="3" t="s">
        <v>16</v>
      </c>
      <c r="E121" s="3">
        <v>23</v>
      </c>
      <c r="F121" s="3">
        <v>38478</v>
      </c>
      <c r="G121" s="3">
        <v>228.73</v>
      </c>
      <c r="H121" s="3">
        <v>2</v>
      </c>
      <c r="I121" s="3">
        <v>558.72</v>
      </c>
      <c r="J121" s="3">
        <v>1117.44</v>
      </c>
      <c r="K121" s="3">
        <v>4</v>
      </c>
    </row>
    <row r="122" spans="1:11" x14ac:dyDescent="0.35">
      <c r="A122" s="3" t="s">
        <v>134</v>
      </c>
      <c r="B122" s="18">
        <v>45729</v>
      </c>
      <c r="C122" s="3" t="s">
        <v>9</v>
      </c>
      <c r="D122" s="3" t="s">
        <v>10</v>
      </c>
      <c r="E122" s="3">
        <v>46</v>
      </c>
      <c r="F122" s="3">
        <v>65490</v>
      </c>
      <c r="G122" s="3">
        <v>350.64</v>
      </c>
      <c r="H122" s="3">
        <v>7</v>
      </c>
      <c r="I122" s="3">
        <v>197.93</v>
      </c>
      <c r="J122" s="3">
        <v>1385.48</v>
      </c>
      <c r="K122" s="3">
        <v>3.1</v>
      </c>
    </row>
    <row r="123" spans="1:11" x14ac:dyDescent="0.35">
      <c r="A123" s="3" t="s">
        <v>135</v>
      </c>
      <c r="B123" s="18">
        <v>45729</v>
      </c>
      <c r="C123" s="3" t="s">
        <v>12</v>
      </c>
      <c r="D123" s="3" t="s">
        <v>10</v>
      </c>
      <c r="E123" s="3">
        <v>43</v>
      </c>
      <c r="F123" s="3">
        <v>37562</v>
      </c>
      <c r="G123" s="3">
        <v>142.24</v>
      </c>
      <c r="H123" s="3">
        <v>5</v>
      </c>
      <c r="I123" s="3">
        <v>162.91</v>
      </c>
      <c r="J123" s="3">
        <v>814.55</v>
      </c>
      <c r="K123" s="3">
        <v>2.7</v>
      </c>
    </row>
    <row r="124" spans="1:11" x14ac:dyDescent="0.35">
      <c r="A124" s="3" t="s">
        <v>136</v>
      </c>
      <c r="B124" s="18">
        <v>45730</v>
      </c>
      <c r="C124" s="3" t="s">
        <v>14</v>
      </c>
      <c r="D124" s="3" t="s">
        <v>21</v>
      </c>
      <c r="E124" s="3">
        <v>43</v>
      </c>
      <c r="F124" s="3">
        <v>101760</v>
      </c>
      <c r="G124" s="3">
        <v>181.92</v>
      </c>
      <c r="H124" s="3">
        <v>7</v>
      </c>
      <c r="I124" s="3">
        <v>125.65</v>
      </c>
      <c r="J124" s="3">
        <v>879.56</v>
      </c>
      <c r="K124" s="3">
        <v>2.9</v>
      </c>
    </row>
    <row r="125" spans="1:11" x14ac:dyDescent="0.35">
      <c r="A125" s="3" t="s">
        <v>137</v>
      </c>
      <c r="B125" s="18">
        <v>45730</v>
      </c>
      <c r="C125" s="3" t="s">
        <v>12</v>
      </c>
      <c r="D125" s="3" t="s">
        <v>10</v>
      </c>
      <c r="E125" s="3">
        <v>26</v>
      </c>
      <c r="F125" s="3">
        <v>87349</v>
      </c>
      <c r="G125" s="3">
        <v>453.35</v>
      </c>
      <c r="H125" s="3">
        <v>7</v>
      </c>
      <c r="I125" s="3">
        <v>251.04</v>
      </c>
      <c r="J125" s="3">
        <v>1757.26</v>
      </c>
      <c r="K125" s="3">
        <v>3.3</v>
      </c>
    </row>
    <row r="126" spans="1:11" x14ac:dyDescent="0.35">
      <c r="A126" s="3" t="s">
        <v>138</v>
      </c>
      <c r="B126" s="18">
        <v>45731</v>
      </c>
      <c r="C126" s="3" t="s">
        <v>9</v>
      </c>
      <c r="D126" s="3" t="s">
        <v>21</v>
      </c>
      <c r="E126" s="3">
        <v>49</v>
      </c>
      <c r="F126" s="3">
        <v>32065</v>
      </c>
      <c r="G126" s="3">
        <v>55.85</v>
      </c>
      <c r="H126" s="3">
        <v>7</v>
      </c>
      <c r="I126" s="3">
        <v>70.61</v>
      </c>
      <c r="J126" s="3">
        <v>494.3</v>
      </c>
      <c r="K126" s="3">
        <v>1.9</v>
      </c>
    </row>
    <row r="127" spans="1:11" x14ac:dyDescent="0.35">
      <c r="A127" s="3" t="s">
        <v>139</v>
      </c>
      <c r="B127" s="18">
        <v>45732</v>
      </c>
      <c r="C127" s="3" t="s">
        <v>9</v>
      </c>
      <c r="D127" s="3" t="s">
        <v>10</v>
      </c>
      <c r="E127" s="3">
        <v>21</v>
      </c>
      <c r="F127" s="3">
        <v>59029</v>
      </c>
      <c r="G127" s="3">
        <v>88.48</v>
      </c>
      <c r="H127" s="3">
        <v>1</v>
      </c>
      <c r="I127" s="3">
        <v>588.95000000000005</v>
      </c>
      <c r="J127" s="3">
        <v>588.95000000000005</v>
      </c>
      <c r="K127" s="3">
        <v>3.2</v>
      </c>
    </row>
    <row r="128" spans="1:11" x14ac:dyDescent="0.35">
      <c r="A128" s="3" t="s">
        <v>140</v>
      </c>
      <c r="B128" s="18">
        <v>45732</v>
      </c>
      <c r="C128" s="3" t="s">
        <v>23</v>
      </c>
      <c r="D128" s="3" t="s">
        <v>10</v>
      </c>
      <c r="E128" s="3">
        <v>41</v>
      </c>
      <c r="F128" s="3">
        <v>50146</v>
      </c>
      <c r="G128" s="3">
        <v>143.55000000000001</v>
      </c>
      <c r="H128" s="3">
        <v>2</v>
      </c>
      <c r="I128" s="3">
        <v>390.39</v>
      </c>
      <c r="J128" s="3">
        <v>780.78</v>
      </c>
      <c r="K128" s="3">
        <v>2</v>
      </c>
    </row>
    <row r="129" spans="1:11" x14ac:dyDescent="0.35">
      <c r="A129" s="3" t="s">
        <v>141</v>
      </c>
      <c r="B129" s="18">
        <v>45733</v>
      </c>
      <c r="C129" s="3" t="s">
        <v>14</v>
      </c>
      <c r="D129" s="3" t="s">
        <v>18</v>
      </c>
      <c r="E129" s="3">
        <v>57</v>
      </c>
      <c r="F129" s="3">
        <v>71992</v>
      </c>
      <c r="G129" s="3">
        <v>61.94</v>
      </c>
      <c r="H129" s="3">
        <v>5</v>
      </c>
      <c r="I129" s="3">
        <v>114.91</v>
      </c>
      <c r="J129" s="3">
        <v>574.54</v>
      </c>
      <c r="K129" s="3">
        <v>1.7</v>
      </c>
    </row>
    <row r="130" spans="1:11" x14ac:dyDescent="0.35">
      <c r="A130" s="3" t="s">
        <v>142</v>
      </c>
      <c r="B130" s="18">
        <v>45733</v>
      </c>
      <c r="C130" s="3" t="s">
        <v>23</v>
      </c>
      <c r="D130" s="3" t="s">
        <v>18</v>
      </c>
      <c r="E130" s="3">
        <v>25</v>
      </c>
      <c r="F130" s="3">
        <v>22416</v>
      </c>
      <c r="G130" s="3">
        <v>131.65</v>
      </c>
      <c r="H130" s="3">
        <v>2</v>
      </c>
      <c r="I130" s="3">
        <v>353.5</v>
      </c>
      <c r="J130" s="3">
        <v>707</v>
      </c>
      <c r="K130" s="3">
        <v>3</v>
      </c>
    </row>
    <row r="131" spans="1:11" x14ac:dyDescent="0.35">
      <c r="A131" s="3" t="s">
        <v>143</v>
      </c>
      <c r="B131" s="18">
        <v>45734</v>
      </c>
      <c r="C131" s="3" t="s">
        <v>23</v>
      </c>
      <c r="D131" s="3" t="s">
        <v>10</v>
      </c>
      <c r="E131" s="3">
        <v>29</v>
      </c>
      <c r="F131" s="3">
        <v>51176</v>
      </c>
      <c r="G131" s="3">
        <v>312.37</v>
      </c>
      <c r="H131" s="3">
        <v>4</v>
      </c>
      <c r="I131" s="3">
        <v>331.58</v>
      </c>
      <c r="J131" s="3">
        <v>1326.3</v>
      </c>
      <c r="K131" s="3">
        <v>3.8</v>
      </c>
    </row>
    <row r="132" spans="1:11" x14ac:dyDescent="0.35">
      <c r="A132" s="3" t="s">
        <v>144</v>
      </c>
      <c r="B132" s="18">
        <v>45735</v>
      </c>
      <c r="C132" s="3" t="s">
        <v>9</v>
      </c>
      <c r="D132" s="3" t="s">
        <v>21</v>
      </c>
      <c r="E132" s="3">
        <v>36</v>
      </c>
      <c r="F132" s="3">
        <v>61649</v>
      </c>
      <c r="G132" s="3">
        <v>239.64</v>
      </c>
      <c r="H132" s="3">
        <v>4</v>
      </c>
      <c r="I132" s="3">
        <v>257.42</v>
      </c>
      <c r="J132" s="3">
        <v>1029.67</v>
      </c>
      <c r="K132" s="3">
        <v>2.6</v>
      </c>
    </row>
    <row r="133" spans="1:11" x14ac:dyDescent="0.35">
      <c r="A133" s="3" t="s">
        <v>145</v>
      </c>
      <c r="B133" s="18">
        <v>45735</v>
      </c>
      <c r="C133" s="3" t="s">
        <v>23</v>
      </c>
      <c r="D133" s="3" t="s">
        <v>21</v>
      </c>
      <c r="E133" s="3">
        <v>30</v>
      </c>
      <c r="F133" s="3">
        <v>15073</v>
      </c>
      <c r="G133" s="3">
        <v>451.7</v>
      </c>
      <c r="H133" s="3">
        <v>4</v>
      </c>
      <c r="I133" s="3">
        <v>457.66</v>
      </c>
      <c r="J133" s="3">
        <v>1830.65</v>
      </c>
      <c r="K133" s="3">
        <v>3.3</v>
      </c>
    </row>
    <row r="134" spans="1:11" x14ac:dyDescent="0.35">
      <c r="A134" s="3" t="s">
        <v>146</v>
      </c>
      <c r="B134" s="18">
        <v>45736</v>
      </c>
      <c r="C134" s="3" t="s">
        <v>23</v>
      </c>
      <c r="D134" s="3" t="s">
        <v>21</v>
      </c>
      <c r="E134" s="3">
        <v>19</v>
      </c>
      <c r="F134" s="3">
        <v>20098</v>
      </c>
      <c r="G134" s="3">
        <v>417.85</v>
      </c>
      <c r="H134" s="3">
        <v>6</v>
      </c>
      <c r="I134" s="3">
        <v>258.83</v>
      </c>
      <c r="J134" s="3">
        <v>1553.01</v>
      </c>
      <c r="K134" s="3">
        <v>3.5</v>
      </c>
    </row>
    <row r="135" spans="1:11" x14ac:dyDescent="0.35">
      <c r="A135" s="3" t="s">
        <v>147</v>
      </c>
      <c r="B135" s="18">
        <v>45736</v>
      </c>
      <c r="C135" s="3" t="s">
        <v>23</v>
      </c>
      <c r="D135" s="3" t="s">
        <v>21</v>
      </c>
      <c r="E135" s="3">
        <v>36</v>
      </c>
      <c r="F135" s="3">
        <v>15000</v>
      </c>
      <c r="G135" s="3">
        <v>203.82</v>
      </c>
      <c r="H135" s="3">
        <v>7</v>
      </c>
      <c r="I135" s="3">
        <v>152.33000000000001</v>
      </c>
      <c r="J135" s="3">
        <v>1066.3</v>
      </c>
      <c r="K135" s="3">
        <v>2.5</v>
      </c>
    </row>
    <row r="136" spans="1:11" x14ac:dyDescent="0.35">
      <c r="A136" s="3" t="s">
        <v>148</v>
      </c>
      <c r="B136" s="18">
        <v>45737</v>
      </c>
      <c r="C136" s="3" t="s">
        <v>9</v>
      </c>
      <c r="D136" s="3" t="s">
        <v>21</v>
      </c>
      <c r="E136" s="3">
        <v>24</v>
      </c>
      <c r="F136" s="3">
        <v>31739</v>
      </c>
      <c r="G136" s="3">
        <v>166.74</v>
      </c>
      <c r="H136" s="3">
        <v>6</v>
      </c>
      <c r="I136" s="3">
        <v>133.38999999999999</v>
      </c>
      <c r="J136" s="3">
        <v>800.36</v>
      </c>
      <c r="K136" s="3">
        <v>2.2000000000000002</v>
      </c>
    </row>
    <row r="137" spans="1:11" x14ac:dyDescent="0.35">
      <c r="A137" s="3" t="s">
        <v>149</v>
      </c>
      <c r="B137" s="18">
        <v>45738</v>
      </c>
      <c r="C137" s="3" t="s">
        <v>23</v>
      </c>
      <c r="D137" s="3" t="s">
        <v>21</v>
      </c>
      <c r="E137" s="3">
        <v>40</v>
      </c>
      <c r="F137" s="3">
        <v>2850000</v>
      </c>
      <c r="G137" s="3">
        <v>220.86</v>
      </c>
      <c r="H137" s="3">
        <v>1</v>
      </c>
      <c r="I137" s="3">
        <v>862.29</v>
      </c>
      <c r="J137" s="3">
        <v>862.29</v>
      </c>
      <c r="K137" s="3">
        <v>3.2</v>
      </c>
    </row>
    <row r="138" spans="1:11" x14ac:dyDescent="0.35">
      <c r="A138" s="3" t="s">
        <v>150</v>
      </c>
      <c r="B138" s="18">
        <v>45738</v>
      </c>
      <c r="C138" s="3" t="s">
        <v>12</v>
      </c>
      <c r="D138" s="3" t="s">
        <v>16</v>
      </c>
      <c r="E138" s="3">
        <v>26</v>
      </c>
      <c r="F138" s="3">
        <v>76971</v>
      </c>
      <c r="G138" s="3">
        <v>315.63</v>
      </c>
      <c r="H138" s="3">
        <v>4</v>
      </c>
      <c r="I138" s="3">
        <v>322.56</v>
      </c>
      <c r="J138" s="3">
        <v>1290.26</v>
      </c>
      <c r="K138" s="3">
        <v>3.5</v>
      </c>
    </row>
    <row r="139" spans="1:11" x14ac:dyDescent="0.35">
      <c r="A139" s="3" t="s">
        <v>151</v>
      </c>
      <c r="B139" s="18">
        <v>45739</v>
      </c>
      <c r="C139" s="3" t="s">
        <v>14</v>
      </c>
      <c r="D139" s="3" t="s">
        <v>10</v>
      </c>
      <c r="E139" s="3">
        <v>50</v>
      </c>
      <c r="F139" s="3">
        <v>37686</v>
      </c>
      <c r="G139" s="3">
        <v>170.63</v>
      </c>
      <c r="H139" s="3">
        <v>5</v>
      </c>
      <c r="I139" s="3">
        <v>152.31</v>
      </c>
      <c r="J139" s="3">
        <v>761.53</v>
      </c>
      <c r="K139" s="3">
        <v>3.4</v>
      </c>
    </row>
    <row r="140" spans="1:11" x14ac:dyDescent="0.35">
      <c r="A140" s="3" t="s">
        <v>152</v>
      </c>
      <c r="B140" s="18">
        <v>45739</v>
      </c>
      <c r="C140" s="3" t="s">
        <v>9</v>
      </c>
      <c r="D140" s="3" t="s">
        <v>21</v>
      </c>
      <c r="E140" s="3">
        <v>27</v>
      </c>
      <c r="F140" s="3">
        <v>81986</v>
      </c>
      <c r="G140" s="3">
        <v>330.87</v>
      </c>
      <c r="H140" s="3">
        <v>2</v>
      </c>
      <c r="I140" s="3">
        <v>698.02</v>
      </c>
      <c r="J140" s="3">
        <v>1396.04</v>
      </c>
      <c r="K140" s="3">
        <v>2.4</v>
      </c>
    </row>
    <row r="141" spans="1:11" x14ac:dyDescent="0.35">
      <c r="A141" s="3" t="s">
        <v>153</v>
      </c>
      <c r="B141" s="18">
        <v>45740</v>
      </c>
      <c r="C141" s="3" t="s">
        <v>12</v>
      </c>
      <c r="D141" s="3" t="s">
        <v>10</v>
      </c>
      <c r="E141" s="3">
        <v>32</v>
      </c>
      <c r="F141" s="3">
        <v>18214</v>
      </c>
      <c r="G141" s="3">
        <v>234.24</v>
      </c>
      <c r="H141" s="3">
        <v>7</v>
      </c>
      <c r="I141" s="3">
        <v>138.19</v>
      </c>
      <c r="J141" s="3">
        <v>967.36</v>
      </c>
      <c r="K141" s="3">
        <v>2.5</v>
      </c>
    </row>
    <row r="142" spans="1:11" x14ac:dyDescent="0.35">
      <c r="A142" s="3" t="s">
        <v>154</v>
      </c>
      <c r="B142" s="18">
        <v>45741</v>
      </c>
      <c r="C142" s="3" t="s">
        <v>12</v>
      </c>
      <c r="D142" s="3" t="s">
        <v>21</v>
      </c>
      <c r="E142" s="3">
        <v>43</v>
      </c>
      <c r="F142" s="3">
        <v>15496</v>
      </c>
      <c r="G142" s="3">
        <v>298.42</v>
      </c>
      <c r="H142" s="3">
        <v>3</v>
      </c>
      <c r="I142" s="3">
        <v>396.42</v>
      </c>
      <c r="J142" s="3">
        <v>1189.25</v>
      </c>
      <c r="K142" s="3">
        <v>3.2</v>
      </c>
    </row>
    <row r="143" spans="1:11" x14ac:dyDescent="0.35">
      <c r="A143" s="3" t="s">
        <v>155</v>
      </c>
      <c r="B143" s="18">
        <v>45741</v>
      </c>
      <c r="C143" s="3" t="s">
        <v>12</v>
      </c>
      <c r="D143" s="3" t="s">
        <v>10</v>
      </c>
      <c r="E143" s="3">
        <v>23</v>
      </c>
      <c r="F143" s="3">
        <v>35321</v>
      </c>
      <c r="G143" s="3">
        <v>246.26</v>
      </c>
      <c r="H143" s="3">
        <v>5</v>
      </c>
      <c r="I143" s="3">
        <v>181.37</v>
      </c>
      <c r="J143" s="3">
        <v>906.87</v>
      </c>
      <c r="K143" s="3">
        <v>2.2000000000000002</v>
      </c>
    </row>
    <row r="144" spans="1:11" x14ac:dyDescent="0.35">
      <c r="A144" s="3" t="s">
        <v>156</v>
      </c>
      <c r="B144" s="18">
        <v>45742</v>
      </c>
      <c r="C144" s="3" t="s">
        <v>23</v>
      </c>
      <c r="D144" s="3" t="s">
        <v>18</v>
      </c>
      <c r="E144" s="3">
        <v>37</v>
      </c>
      <c r="F144" s="3">
        <v>44004</v>
      </c>
      <c r="G144" s="3">
        <v>182.51</v>
      </c>
      <c r="H144" s="3">
        <v>7</v>
      </c>
      <c r="I144" s="3">
        <v>116.84</v>
      </c>
      <c r="J144" s="3">
        <v>817.85</v>
      </c>
      <c r="K144" s="3">
        <v>3.1</v>
      </c>
    </row>
    <row r="145" spans="1:11" x14ac:dyDescent="0.35">
      <c r="A145" s="3" t="s">
        <v>157</v>
      </c>
      <c r="B145" s="18">
        <v>45742</v>
      </c>
      <c r="C145" s="3" t="s">
        <v>23</v>
      </c>
      <c r="D145" s="3" t="s">
        <v>10</v>
      </c>
      <c r="E145" s="3">
        <v>48</v>
      </c>
      <c r="F145" s="3">
        <v>35727</v>
      </c>
      <c r="G145" s="3">
        <v>476.8</v>
      </c>
      <c r="H145" s="3">
        <v>6</v>
      </c>
      <c r="I145" s="3">
        <v>266.97000000000003</v>
      </c>
      <c r="J145" s="3">
        <v>1601.85</v>
      </c>
      <c r="K145" s="3">
        <v>4.0999999999999996</v>
      </c>
    </row>
    <row r="146" spans="1:11" x14ac:dyDescent="0.35">
      <c r="A146" s="3" t="s">
        <v>158</v>
      </c>
      <c r="B146" s="18">
        <v>45743</v>
      </c>
      <c r="C146" s="3" t="s">
        <v>14</v>
      </c>
      <c r="D146" s="3" t="s">
        <v>10</v>
      </c>
      <c r="E146" s="3">
        <v>19</v>
      </c>
      <c r="F146" s="3">
        <v>15000</v>
      </c>
      <c r="G146" s="3">
        <v>393.62</v>
      </c>
      <c r="H146" s="3">
        <v>6</v>
      </c>
      <c r="I146" s="3">
        <v>233.81</v>
      </c>
      <c r="J146" s="3">
        <v>1402.87</v>
      </c>
      <c r="K146" s="3">
        <v>2.9</v>
      </c>
    </row>
    <row r="147" spans="1:11" x14ac:dyDescent="0.35">
      <c r="A147" s="3" t="s">
        <v>159</v>
      </c>
      <c r="B147" s="18">
        <v>45744</v>
      </c>
      <c r="C147" s="3" t="s">
        <v>14</v>
      </c>
      <c r="D147" s="3" t="s">
        <v>16</v>
      </c>
      <c r="E147" s="3">
        <v>37</v>
      </c>
      <c r="F147" s="3">
        <v>34733</v>
      </c>
      <c r="G147" s="3">
        <v>113.05</v>
      </c>
      <c r="H147" s="3">
        <v>5</v>
      </c>
      <c r="I147" s="3">
        <v>138.52000000000001</v>
      </c>
      <c r="J147" s="3">
        <v>692.59</v>
      </c>
      <c r="K147" s="3">
        <v>2.6</v>
      </c>
    </row>
    <row r="148" spans="1:11" x14ac:dyDescent="0.35">
      <c r="A148" s="3" t="s">
        <v>160</v>
      </c>
      <c r="B148" s="18">
        <v>45744</v>
      </c>
      <c r="C148" s="3" t="s">
        <v>14</v>
      </c>
      <c r="D148" s="3" t="s">
        <v>16</v>
      </c>
      <c r="E148" s="3">
        <v>38</v>
      </c>
      <c r="F148" s="3">
        <v>18916</v>
      </c>
      <c r="G148" s="3">
        <v>440.81</v>
      </c>
      <c r="H148" s="3">
        <v>6</v>
      </c>
      <c r="I148" s="3">
        <v>290.58</v>
      </c>
      <c r="J148" s="3">
        <v>1743.46</v>
      </c>
      <c r="K148" s="3">
        <v>4.4000000000000004</v>
      </c>
    </row>
    <row r="149" spans="1:11" x14ac:dyDescent="0.35">
      <c r="A149" s="3" t="s">
        <v>161</v>
      </c>
      <c r="B149" s="18">
        <v>45745</v>
      </c>
      <c r="C149" s="3" t="s">
        <v>23</v>
      </c>
      <c r="D149" s="3" t="s">
        <v>18</v>
      </c>
      <c r="E149" s="3">
        <v>43</v>
      </c>
      <c r="F149" s="3">
        <v>50759</v>
      </c>
      <c r="G149" s="3">
        <v>269.33999999999997</v>
      </c>
      <c r="H149" s="3">
        <v>4</v>
      </c>
      <c r="I149" s="3">
        <v>291.48</v>
      </c>
      <c r="J149" s="3">
        <v>1165.92</v>
      </c>
      <c r="K149" s="3">
        <v>4.0999999999999996</v>
      </c>
    </row>
    <row r="150" spans="1:11" x14ac:dyDescent="0.35">
      <c r="A150" s="3" t="s">
        <v>162</v>
      </c>
      <c r="B150" s="18">
        <v>45745</v>
      </c>
      <c r="C150" s="3" t="s">
        <v>9</v>
      </c>
      <c r="D150" s="3" t="s">
        <v>10</v>
      </c>
      <c r="E150" s="3">
        <v>23</v>
      </c>
      <c r="F150" s="3">
        <v>43621</v>
      </c>
      <c r="G150" s="3">
        <v>452.55</v>
      </c>
      <c r="H150" s="3">
        <v>1</v>
      </c>
      <c r="I150" s="3">
        <v>1640.8</v>
      </c>
      <c r="J150" s="3">
        <v>1640.8</v>
      </c>
      <c r="K150" s="3">
        <v>3.9</v>
      </c>
    </row>
    <row r="151" spans="1:11" x14ac:dyDescent="0.35">
      <c r="A151" s="3" t="s">
        <v>163</v>
      </c>
      <c r="B151" s="18">
        <v>45746</v>
      </c>
      <c r="C151" s="3" t="s">
        <v>23</v>
      </c>
      <c r="D151" s="3" t="s">
        <v>18</v>
      </c>
      <c r="E151" s="3">
        <v>22</v>
      </c>
      <c r="F151" s="3">
        <v>22699</v>
      </c>
      <c r="G151" s="3">
        <v>409.93</v>
      </c>
      <c r="H151" s="3">
        <v>2</v>
      </c>
      <c r="I151" s="3">
        <v>788.98</v>
      </c>
      <c r="J151" s="3">
        <v>1577.96</v>
      </c>
      <c r="K151" s="3">
        <v>3.7</v>
      </c>
    </row>
    <row r="152" spans="1:11" x14ac:dyDescent="0.35">
      <c r="A152" s="3" t="s">
        <v>164</v>
      </c>
      <c r="B152" s="18">
        <v>45747</v>
      </c>
      <c r="C152" s="3" t="s">
        <v>9</v>
      </c>
      <c r="D152" s="3" t="s">
        <v>21</v>
      </c>
      <c r="E152" s="3">
        <v>40</v>
      </c>
      <c r="F152" s="3">
        <v>28087</v>
      </c>
      <c r="G152" s="3">
        <v>241.35</v>
      </c>
      <c r="H152" s="3">
        <v>1</v>
      </c>
      <c r="I152" s="3">
        <v>1042.03</v>
      </c>
      <c r="J152" s="3">
        <v>1042.03</v>
      </c>
      <c r="K152" s="3">
        <v>2.4</v>
      </c>
    </row>
    <row r="153" spans="1:11" x14ac:dyDescent="0.35">
      <c r="A153" s="3" t="s">
        <v>165</v>
      </c>
      <c r="B153" s="18">
        <v>45747</v>
      </c>
      <c r="C153" s="3" t="s">
        <v>14</v>
      </c>
      <c r="D153" s="3" t="s">
        <v>10</v>
      </c>
      <c r="E153" s="3">
        <v>38</v>
      </c>
      <c r="F153" s="3">
        <v>21384</v>
      </c>
      <c r="G153" s="3">
        <v>60.11</v>
      </c>
      <c r="H153" s="3">
        <v>7</v>
      </c>
      <c r="I153" s="3">
        <v>52.81</v>
      </c>
      <c r="J153" s="3">
        <v>369.68</v>
      </c>
      <c r="K153" s="3">
        <v>2.5</v>
      </c>
    </row>
    <row r="154" spans="1:11" x14ac:dyDescent="0.35">
      <c r="A154" s="3" t="s">
        <v>166</v>
      </c>
      <c r="B154" s="18">
        <v>45748</v>
      </c>
      <c r="C154" s="3" t="s">
        <v>12</v>
      </c>
      <c r="D154" s="3" t="s">
        <v>21</v>
      </c>
      <c r="E154" s="3">
        <v>38</v>
      </c>
      <c r="F154" s="3">
        <v>35195</v>
      </c>
      <c r="G154" s="3">
        <v>170.9</v>
      </c>
      <c r="H154" s="3">
        <v>2</v>
      </c>
      <c r="I154" s="3">
        <v>498.58</v>
      </c>
      <c r="J154" s="3">
        <v>997.15</v>
      </c>
      <c r="K154" s="3">
        <v>3.2</v>
      </c>
    </row>
    <row r="155" spans="1:11" x14ac:dyDescent="0.35">
      <c r="A155" s="3" t="s">
        <v>167</v>
      </c>
      <c r="B155" s="18">
        <v>45748</v>
      </c>
      <c r="C155" s="3" t="s">
        <v>14</v>
      </c>
      <c r="D155" s="3" t="s">
        <v>10</v>
      </c>
      <c r="E155" s="3">
        <v>38</v>
      </c>
      <c r="F155" s="3">
        <v>58546</v>
      </c>
      <c r="G155" s="3">
        <v>293.74</v>
      </c>
      <c r="H155" s="3">
        <v>2</v>
      </c>
      <c r="I155" s="3">
        <v>670.08</v>
      </c>
      <c r="J155" s="3">
        <v>1340.16</v>
      </c>
      <c r="K155" s="3">
        <v>3</v>
      </c>
    </row>
    <row r="156" spans="1:11" x14ac:dyDescent="0.35">
      <c r="A156" s="3" t="s">
        <v>168</v>
      </c>
      <c r="B156" s="18">
        <v>45749</v>
      </c>
      <c r="C156" s="3" t="s">
        <v>23</v>
      </c>
      <c r="D156" s="3" t="s">
        <v>10</v>
      </c>
      <c r="E156" s="3">
        <v>28</v>
      </c>
      <c r="F156" s="3">
        <v>22184</v>
      </c>
      <c r="G156" s="3">
        <v>335.07</v>
      </c>
      <c r="H156" s="3">
        <v>1</v>
      </c>
      <c r="I156" s="3">
        <v>1384.55</v>
      </c>
      <c r="J156" s="3">
        <v>1384.55</v>
      </c>
      <c r="K156" s="3">
        <v>2.8</v>
      </c>
    </row>
    <row r="157" spans="1:11" x14ac:dyDescent="0.35">
      <c r="A157" s="3" t="s">
        <v>169</v>
      </c>
      <c r="B157" s="18">
        <v>45750</v>
      </c>
      <c r="C157" s="3" t="s">
        <v>14</v>
      </c>
      <c r="D157" s="3" t="s">
        <v>21</v>
      </c>
      <c r="E157" s="3">
        <v>37</v>
      </c>
      <c r="F157" s="3">
        <v>46724</v>
      </c>
      <c r="G157" s="3">
        <v>166.05</v>
      </c>
      <c r="H157" s="3">
        <v>5</v>
      </c>
      <c r="I157" s="3">
        <v>172.7</v>
      </c>
      <c r="J157" s="3">
        <v>863.51</v>
      </c>
      <c r="K157" s="3">
        <v>1.9</v>
      </c>
    </row>
    <row r="158" spans="1:11" x14ac:dyDescent="0.35">
      <c r="A158" s="3" t="s">
        <v>170</v>
      </c>
      <c r="B158" s="18">
        <v>45750</v>
      </c>
      <c r="C158" s="3" t="s">
        <v>12</v>
      </c>
      <c r="D158" s="3" t="s">
        <v>16</v>
      </c>
      <c r="E158" s="3">
        <v>38</v>
      </c>
      <c r="F158" s="3">
        <v>27858</v>
      </c>
      <c r="G158" s="3">
        <v>112.71</v>
      </c>
      <c r="H158" s="3">
        <v>2</v>
      </c>
      <c r="I158" s="3">
        <v>353.67</v>
      </c>
      <c r="J158" s="3">
        <v>707.34</v>
      </c>
      <c r="K158" s="3">
        <v>1.5</v>
      </c>
    </row>
    <row r="159" spans="1:11" x14ac:dyDescent="0.35">
      <c r="A159" s="3" t="s">
        <v>171</v>
      </c>
      <c r="B159" s="18">
        <v>45751</v>
      </c>
      <c r="C159" s="3" t="s">
        <v>12</v>
      </c>
      <c r="D159" s="3" t="s">
        <v>16</v>
      </c>
      <c r="E159" s="3">
        <v>28</v>
      </c>
      <c r="F159" s="3">
        <v>24430</v>
      </c>
      <c r="G159" s="3">
        <v>425.72</v>
      </c>
      <c r="H159" s="3">
        <v>1</v>
      </c>
      <c r="I159" s="3">
        <v>1528.97</v>
      </c>
      <c r="J159" s="3">
        <v>1528.97</v>
      </c>
      <c r="K159" s="3">
        <v>2.2000000000000002</v>
      </c>
    </row>
    <row r="160" spans="1:11" x14ac:dyDescent="0.35">
      <c r="A160" s="3" t="s">
        <v>172</v>
      </c>
      <c r="B160" s="18">
        <v>45751</v>
      </c>
      <c r="C160" s="3" t="s">
        <v>9</v>
      </c>
      <c r="D160" s="3" t="s">
        <v>18</v>
      </c>
      <c r="E160" s="3">
        <v>54</v>
      </c>
      <c r="F160" s="3">
        <v>34423</v>
      </c>
      <c r="G160" s="3">
        <v>492.98</v>
      </c>
      <c r="H160" s="3">
        <v>2</v>
      </c>
      <c r="I160" s="3">
        <v>943.88</v>
      </c>
      <c r="J160" s="3">
        <v>1887.76</v>
      </c>
      <c r="K160" s="3">
        <v>4</v>
      </c>
    </row>
    <row r="161" spans="1:11" x14ac:dyDescent="0.35">
      <c r="A161" s="3" t="s">
        <v>173</v>
      </c>
      <c r="B161" s="18">
        <v>45752</v>
      </c>
      <c r="C161" s="3" t="s">
        <v>12</v>
      </c>
      <c r="D161" s="3" t="s">
        <v>10</v>
      </c>
      <c r="E161" s="3">
        <v>40</v>
      </c>
      <c r="F161" s="3">
        <v>21642</v>
      </c>
      <c r="G161" s="3">
        <v>286.56</v>
      </c>
      <c r="H161" s="3">
        <v>3</v>
      </c>
      <c r="I161" s="3">
        <v>397.48</v>
      </c>
      <c r="J161" s="3">
        <v>1192.43</v>
      </c>
      <c r="K161" s="3">
        <v>3.1</v>
      </c>
    </row>
    <row r="162" spans="1:11" x14ac:dyDescent="0.35">
      <c r="A162" s="3" t="s">
        <v>174</v>
      </c>
      <c r="B162" s="18">
        <v>45753</v>
      </c>
      <c r="C162" s="3" t="s">
        <v>9</v>
      </c>
      <c r="D162" s="3" t="s">
        <v>16</v>
      </c>
      <c r="E162" s="3">
        <v>23</v>
      </c>
      <c r="F162" s="3">
        <v>27534</v>
      </c>
      <c r="G162" s="3">
        <v>127.26</v>
      </c>
      <c r="H162" s="3">
        <v>5</v>
      </c>
      <c r="I162" s="3">
        <v>131.41999999999999</v>
      </c>
      <c r="J162" s="3">
        <v>657.1</v>
      </c>
      <c r="K162" s="3">
        <v>2.2000000000000002</v>
      </c>
    </row>
    <row r="163" spans="1:11" x14ac:dyDescent="0.35">
      <c r="A163" s="3" t="s">
        <v>175</v>
      </c>
      <c r="B163" s="18">
        <v>45753</v>
      </c>
      <c r="C163" s="3" t="s">
        <v>12</v>
      </c>
      <c r="D163" s="3" t="s">
        <v>21</v>
      </c>
      <c r="E163" s="3">
        <v>42</v>
      </c>
      <c r="F163" s="3">
        <v>19952</v>
      </c>
      <c r="G163" s="3">
        <v>172.54</v>
      </c>
      <c r="H163" s="3">
        <v>4</v>
      </c>
      <c r="I163" s="3">
        <v>214.91</v>
      </c>
      <c r="J163" s="3">
        <v>859.64</v>
      </c>
      <c r="K163" s="3">
        <v>2.5</v>
      </c>
    </row>
    <row r="164" spans="1:11" x14ac:dyDescent="0.35">
      <c r="A164" s="3" t="s">
        <v>176</v>
      </c>
      <c r="B164" s="18">
        <v>45754</v>
      </c>
      <c r="C164" s="3" t="s">
        <v>14</v>
      </c>
      <c r="D164" s="3" t="s">
        <v>18</v>
      </c>
      <c r="E164" s="3">
        <v>25</v>
      </c>
      <c r="F164" s="3">
        <v>96990</v>
      </c>
      <c r="G164" s="3">
        <v>58.28</v>
      </c>
      <c r="H164" s="3">
        <v>2</v>
      </c>
      <c r="I164" s="3">
        <v>330.16</v>
      </c>
      <c r="J164" s="3">
        <v>660.31</v>
      </c>
      <c r="K164" s="3">
        <v>2.7</v>
      </c>
    </row>
    <row r="165" spans="1:11" x14ac:dyDescent="0.35">
      <c r="A165" s="3" t="s">
        <v>177</v>
      </c>
      <c r="B165" s="18">
        <v>45754</v>
      </c>
      <c r="C165" s="3" t="s">
        <v>14</v>
      </c>
      <c r="D165" s="3" t="s">
        <v>21</v>
      </c>
      <c r="E165" s="3">
        <v>43</v>
      </c>
      <c r="F165" s="3">
        <v>36961</v>
      </c>
      <c r="G165" s="3">
        <v>461.43</v>
      </c>
      <c r="H165" s="3">
        <v>3</v>
      </c>
      <c r="I165" s="3">
        <v>619.28</v>
      </c>
      <c r="J165" s="3">
        <v>1857.84</v>
      </c>
      <c r="K165" s="3">
        <v>3.5</v>
      </c>
    </row>
    <row r="166" spans="1:11" x14ac:dyDescent="0.35">
      <c r="A166" s="3" t="s">
        <v>178</v>
      </c>
      <c r="B166" s="18">
        <v>45755</v>
      </c>
      <c r="C166" s="3" t="s">
        <v>23</v>
      </c>
      <c r="D166" s="3" t="s">
        <v>18</v>
      </c>
      <c r="E166" s="3">
        <v>47</v>
      </c>
      <c r="F166" s="3">
        <v>25595</v>
      </c>
      <c r="G166" s="3">
        <v>102.99</v>
      </c>
      <c r="H166" s="3">
        <v>4</v>
      </c>
      <c r="I166" s="3">
        <v>153.47</v>
      </c>
      <c r="J166" s="3">
        <v>613.87</v>
      </c>
      <c r="K166" s="3">
        <v>1.7</v>
      </c>
    </row>
    <row r="167" spans="1:11" x14ac:dyDescent="0.35">
      <c r="A167" s="3" t="s">
        <v>179</v>
      </c>
      <c r="B167" s="18">
        <v>45756</v>
      </c>
      <c r="C167" s="3" t="s">
        <v>23</v>
      </c>
      <c r="D167" s="3" t="s">
        <v>21</v>
      </c>
      <c r="E167" s="3">
        <v>27</v>
      </c>
      <c r="F167" s="3">
        <v>40416</v>
      </c>
      <c r="G167" s="3">
        <v>309.43</v>
      </c>
      <c r="H167" s="3">
        <v>4</v>
      </c>
      <c r="I167" s="3">
        <v>341.5</v>
      </c>
      <c r="J167" s="3">
        <v>1365.98</v>
      </c>
      <c r="K167" s="3">
        <v>3.7</v>
      </c>
    </row>
    <row r="168" spans="1:11" x14ac:dyDescent="0.35">
      <c r="A168" s="3" t="s">
        <v>180</v>
      </c>
      <c r="B168" s="18">
        <v>45756</v>
      </c>
      <c r="C168" s="3" t="s">
        <v>12</v>
      </c>
      <c r="D168" s="3" t="s">
        <v>16</v>
      </c>
      <c r="E168" s="3">
        <v>45</v>
      </c>
      <c r="F168" s="3">
        <v>34332</v>
      </c>
      <c r="G168" s="3">
        <v>173.32</v>
      </c>
      <c r="H168" s="3">
        <v>7</v>
      </c>
      <c r="I168" s="3">
        <v>142.37</v>
      </c>
      <c r="J168" s="3">
        <v>996.57</v>
      </c>
      <c r="K168" s="3">
        <v>3</v>
      </c>
    </row>
    <row r="169" spans="1:11" x14ac:dyDescent="0.35">
      <c r="A169" s="3" t="s">
        <v>181</v>
      </c>
      <c r="B169" s="18">
        <v>45757</v>
      </c>
      <c r="C169" s="3" t="s">
        <v>12</v>
      </c>
      <c r="D169" s="3" t="s">
        <v>16</v>
      </c>
      <c r="E169" s="3">
        <v>39</v>
      </c>
      <c r="F169" s="3">
        <v>32517</v>
      </c>
      <c r="G169" s="3">
        <v>299.38</v>
      </c>
      <c r="H169" s="3">
        <v>2</v>
      </c>
      <c r="I169" s="3">
        <v>681</v>
      </c>
      <c r="J169" s="3">
        <v>1361.99</v>
      </c>
      <c r="K169" s="3">
        <v>3.3</v>
      </c>
    </row>
    <row r="170" spans="1:11" x14ac:dyDescent="0.35">
      <c r="A170" s="3" t="s">
        <v>182</v>
      </c>
      <c r="B170" s="18">
        <v>45757</v>
      </c>
      <c r="C170" s="3" t="s">
        <v>23</v>
      </c>
      <c r="D170" s="3" t="s">
        <v>21</v>
      </c>
      <c r="E170" s="3">
        <v>43</v>
      </c>
      <c r="F170" s="3">
        <v>49369</v>
      </c>
      <c r="G170" s="3">
        <v>343.14</v>
      </c>
      <c r="H170" s="3">
        <v>1</v>
      </c>
      <c r="I170" s="3">
        <v>1432.82</v>
      </c>
      <c r="J170" s="3">
        <v>1432.82</v>
      </c>
      <c r="K170" s="3">
        <v>3.7</v>
      </c>
    </row>
    <row r="171" spans="1:11" x14ac:dyDescent="0.35">
      <c r="A171" s="3" t="s">
        <v>183</v>
      </c>
      <c r="B171" s="18">
        <v>45758</v>
      </c>
      <c r="C171" s="3" t="s">
        <v>14</v>
      </c>
      <c r="D171" s="3" t="s">
        <v>10</v>
      </c>
      <c r="E171" s="3">
        <v>54</v>
      </c>
      <c r="F171" s="3">
        <v>53037</v>
      </c>
      <c r="G171" s="3">
        <v>423.38</v>
      </c>
      <c r="H171" s="3">
        <v>2</v>
      </c>
      <c r="I171" s="3">
        <v>816.53</v>
      </c>
      <c r="J171" s="3">
        <v>1633.06</v>
      </c>
      <c r="K171" s="3">
        <v>2.9</v>
      </c>
    </row>
    <row r="172" spans="1:11" x14ac:dyDescent="0.35">
      <c r="A172" s="3" t="s">
        <v>184</v>
      </c>
      <c r="B172" s="18">
        <v>45759</v>
      </c>
      <c r="C172" s="3" t="s">
        <v>9</v>
      </c>
      <c r="D172" s="3" t="s">
        <v>16</v>
      </c>
      <c r="E172" s="3">
        <v>33</v>
      </c>
      <c r="F172" s="3">
        <v>27854</v>
      </c>
      <c r="G172" s="3">
        <v>142.88999999999999</v>
      </c>
      <c r="H172" s="3">
        <v>3</v>
      </c>
      <c r="I172" s="3">
        <v>281.04000000000002</v>
      </c>
      <c r="J172" s="3">
        <v>843.11</v>
      </c>
      <c r="K172" s="3">
        <v>3.4</v>
      </c>
    </row>
    <row r="173" spans="1:11" x14ac:dyDescent="0.35">
      <c r="A173" s="3" t="s">
        <v>185</v>
      </c>
      <c r="B173" s="18">
        <v>45759</v>
      </c>
      <c r="C173" s="3" t="s">
        <v>9</v>
      </c>
      <c r="D173" s="3" t="s">
        <v>10</v>
      </c>
      <c r="E173" s="3">
        <v>27</v>
      </c>
      <c r="F173" s="3">
        <v>27230</v>
      </c>
      <c r="G173" s="3">
        <v>54.95</v>
      </c>
      <c r="H173" s="3">
        <v>4</v>
      </c>
      <c r="I173" s="3">
        <v>134.33000000000001</v>
      </c>
      <c r="J173" s="3">
        <v>537.32000000000005</v>
      </c>
      <c r="K173" s="3">
        <v>2.2999999999999998</v>
      </c>
    </row>
    <row r="174" spans="1:11" x14ac:dyDescent="0.35">
      <c r="A174" s="3" t="s">
        <v>186</v>
      </c>
      <c r="B174" s="18">
        <v>45760</v>
      </c>
      <c r="C174" s="3" t="s">
        <v>14</v>
      </c>
      <c r="D174" s="3" t="s">
        <v>16</v>
      </c>
      <c r="E174" s="3">
        <v>26</v>
      </c>
      <c r="F174" s="3">
        <v>31649</v>
      </c>
      <c r="G174" s="3">
        <v>111.6</v>
      </c>
      <c r="H174" s="3">
        <v>2</v>
      </c>
      <c r="I174" s="3">
        <v>379.37</v>
      </c>
      <c r="J174" s="3">
        <v>758.74</v>
      </c>
      <c r="K174" s="3">
        <v>3.1</v>
      </c>
    </row>
    <row r="175" spans="1:11" x14ac:dyDescent="0.35">
      <c r="A175" s="3" t="s">
        <v>187</v>
      </c>
      <c r="B175" s="18">
        <v>45760</v>
      </c>
      <c r="C175" s="3" t="s">
        <v>14</v>
      </c>
      <c r="D175" s="3" t="s">
        <v>10</v>
      </c>
      <c r="E175" s="3">
        <v>27</v>
      </c>
      <c r="F175" s="3">
        <v>15000</v>
      </c>
      <c r="G175" s="3">
        <v>455.01</v>
      </c>
      <c r="H175" s="3">
        <v>1</v>
      </c>
      <c r="I175" s="3">
        <v>1836.85</v>
      </c>
      <c r="J175" s="3">
        <v>1836.85</v>
      </c>
      <c r="K175" s="3">
        <v>4</v>
      </c>
    </row>
    <row r="176" spans="1:11" x14ac:dyDescent="0.35">
      <c r="A176" s="3" t="s">
        <v>188</v>
      </c>
      <c r="B176" s="18">
        <v>45761</v>
      </c>
      <c r="C176" s="3" t="s">
        <v>14</v>
      </c>
      <c r="D176" s="3" t="s">
        <v>10</v>
      </c>
      <c r="E176" s="3">
        <v>34</v>
      </c>
      <c r="F176" s="3">
        <v>17024</v>
      </c>
      <c r="G176" s="3">
        <v>443.25</v>
      </c>
      <c r="H176" s="3">
        <v>7</v>
      </c>
      <c r="I176" s="3">
        <v>261.77</v>
      </c>
      <c r="J176" s="3">
        <v>1832.36</v>
      </c>
      <c r="K176" s="3">
        <v>3</v>
      </c>
    </row>
    <row r="177" spans="1:11" x14ac:dyDescent="0.35">
      <c r="A177" s="3" t="s">
        <v>189</v>
      </c>
      <c r="B177" s="18">
        <v>45762</v>
      </c>
      <c r="C177" s="3" t="s">
        <v>12</v>
      </c>
      <c r="D177" s="3" t="s">
        <v>21</v>
      </c>
      <c r="E177" s="3">
        <v>38</v>
      </c>
      <c r="F177" s="3">
        <v>71929</v>
      </c>
      <c r="G177" s="3">
        <v>318.83999999999997</v>
      </c>
      <c r="H177" s="3">
        <v>2</v>
      </c>
      <c r="I177" s="3">
        <v>653.74</v>
      </c>
      <c r="J177" s="3">
        <v>1307.47</v>
      </c>
      <c r="K177" s="3">
        <v>3.4</v>
      </c>
    </row>
    <row r="178" spans="1:11" x14ac:dyDescent="0.35">
      <c r="A178" s="3" t="s">
        <v>190</v>
      </c>
      <c r="B178" s="18">
        <v>45762</v>
      </c>
      <c r="C178" s="3" t="s">
        <v>9</v>
      </c>
      <c r="D178" s="3" t="s">
        <v>21</v>
      </c>
      <c r="E178" s="3">
        <v>38</v>
      </c>
      <c r="F178" s="3">
        <v>82659</v>
      </c>
      <c r="G178" s="3">
        <v>320.23</v>
      </c>
      <c r="H178" s="3">
        <v>5</v>
      </c>
      <c r="I178" s="3">
        <v>292.02999999999997</v>
      </c>
      <c r="J178" s="3">
        <v>1460.13</v>
      </c>
      <c r="K178" s="3">
        <v>3.5</v>
      </c>
    </row>
    <row r="179" spans="1:11" x14ac:dyDescent="0.35">
      <c r="A179" s="3" t="s">
        <v>191</v>
      </c>
      <c r="B179" s="18">
        <v>45763</v>
      </c>
      <c r="C179" s="3" t="s">
        <v>14</v>
      </c>
      <c r="D179" s="3" t="s">
        <v>18</v>
      </c>
      <c r="E179" s="3">
        <v>43</v>
      </c>
      <c r="F179" s="3">
        <v>32064</v>
      </c>
      <c r="G179" s="3">
        <v>349.27</v>
      </c>
      <c r="H179" s="3">
        <v>7</v>
      </c>
      <c r="I179" s="3">
        <v>209.07</v>
      </c>
      <c r="J179" s="3">
        <v>1463.47</v>
      </c>
      <c r="K179" s="3">
        <v>3.3</v>
      </c>
    </row>
    <row r="180" spans="1:11" x14ac:dyDescent="0.35">
      <c r="A180" s="3" t="s">
        <v>192</v>
      </c>
      <c r="B180" s="18">
        <v>45763</v>
      </c>
      <c r="C180" s="3" t="s">
        <v>14</v>
      </c>
      <c r="D180" s="3" t="s">
        <v>10</v>
      </c>
      <c r="E180" s="3">
        <v>35</v>
      </c>
      <c r="F180" s="3">
        <v>48450</v>
      </c>
      <c r="G180" s="3">
        <v>128.91999999999999</v>
      </c>
      <c r="H180" s="3">
        <v>1</v>
      </c>
      <c r="I180" s="3">
        <v>908.56</v>
      </c>
      <c r="J180" s="3">
        <v>908.56</v>
      </c>
      <c r="K180" s="3">
        <v>2.7</v>
      </c>
    </row>
    <row r="181" spans="1:11" x14ac:dyDescent="0.35">
      <c r="A181" s="3" t="s">
        <v>193</v>
      </c>
      <c r="B181" s="18">
        <v>45764</v>
      </c>
      <c r="C181" s="3" t="s">
        <v>12</v>
      </c>
      <c r="D181" s="3" t="s">
        <v>10</v>
      </c>
      <c r="E181" s="3">
        <v>50</v>
      </c>
      <c r="F181" s="3">
        <v>42431</v>
      </c>
      <c r="G181" s="3">
        <v>461.49</v>
      </c>
      <c r="H181" s="3">
        <v>3</v>
      </c>
      <c r="I181" s="3">
        <v>583.88</v>
      </c>
      <c r="J181" s="3">
        <v>1751.63</v>
      </c>
      <c r="K181" s="3">
        <v>3.5</v>
      </c>
    </row>
    <row r="182" spans="1:11" x14ac:dyDescent="0.35">
      <c r="A182" s="3" t="s">
        <v>194</v>
      </c>
      <c r="B182" s="18">
        <v>45765</v>
      </c>
      <c r="C182" s="3" t="s">
        <v>23</v>
      </c>
      <c r="D182" s="3" t="s">
        <v>10</v>
      </c>
      <c r="E182" s="3">
        <v>32</v>
      </c>
      <c r="F182" s="3">
        <v>169302</v>
      </c>
      <c r="G182" s="3">
        <v>238.45</v>
      </c>
      <c r="H182" s="3">
        <v>4</v>
      </c>
      <c r="I182" s="3">
        <v>307.98</v>
      </c>
      <c r="J182" s="3">
        <v>1231.92</v>
      </c>
      <c r="K182" s="3">
        <v>3.5</v>
      </c>
    </row>
    <row r="183" spans="1:11" x14ac:dyDescent="0.35">
      <c r="A183" s="3" t="s">
        <v>195</v>
      </c>
      <c r="B183" s="18">
        <v>45765</v>
      </c>
      <c r="C183" s="3" t="s">
        <v>23</v>
      </c>
      <c r="D183" s="3" t="s">
        <v>10</v>
      </c>
      <c r="E183" s="3">
        <v>62</v>
      </c>
      <c r="F183" s="3">
        <v>63563</v>
      </c>
      <c r="G183" s="3">
        <v>222.41</v>
      </c>
      <c r="H183" s="3">
        <v>2</v>
      </c>
      <c r="I183" s="3">
        <v>528.77</v>
      </c>
      <c r="J183" s="3">
        <v>1057.54</v>
      </c>
      <c r="K183" s="3">
        <v>3.2</v>
      </c>
    </row>
    <row r="184" spans="1:11" x14ac:dyDescent="0.35">
      <c r="A184" s="3" t="s">
        <v>196</v>
      </c>
      <c r="B184" s="18">
        <v>45766</v>
      </c>
      <c r="C184" s="3" t="s">
        <v>9</v>
      </c>
      <c r="D184" s="3" t="s">
        <v>16</v>
      </c>
      <c r="E184" s="3">
        <v>41</v>
      </c>
      <c r="F184" s="3">
        <v>34066</v>
      </c>
      <c r="G184" s="3">
        <v>283.51</v>
      </c>
      <c r="H184" s="3">
        <v>1</v>
      </c>
      <c r="I184" s="3">
        <v>1185.1199999999999</v>
      </c>
      <c r="J184" s="3">
        <v>1185.1199999999999</v>
      </c>
      <c r="K184" s="3">
        <v>3</v>
      </c>
    </row>
    <row r="185" spans="1:11" x14ac:dyDescent="0.35">
      <c r="A185" s="3" t="s">
        <v>197</v>
      </c>
      <c r="B185" s="18">
        <v>45766</v>
      </c>
      <c r="C185" s="3" t="s">
        <v>23</v>
      </c>
      <c r="D185" s="3" t="s">
        <v>16</v>
      </c>
      <c r="E185" s="3">
        <v>26</v>
      </c>
      <c r="F185" s="3">
        <v>22522</v>
      </c>
      <c r="G185" s="3">
        <v>71.13</v>
      </c>
      <c r="H185" s="3">
        <v>7</v>
      </c>
      <c r="I185" s="3">
        <v>74.13</v>
      </c>
      <c r="J185" s="3">
        <v>518.91</v>
      </c>
      <c r="K185" s="3">
        <v>1.5</v>
      </c>
    </row>
    <row r="186" spans="1:11" x14ac:dyDescent="0.35">
      <c r="A186" s="3" t="s">
        <v>198</v>
      </c>
      <c r="B186" s="18">
        <v>45767</v>
      </c>
      <c r="C186" s="3" t="s">
        <v>23</v>
      </c>
      <c r="D186" s="3" t="s">
        <v>10</v>
      </c>
      <c r="E186" s="3">
        <v>24</v>
      </c>
      <c r="F186" s="3">
        <v>16265</v>
      </c>
      <c r="G186" s="3">
        <v>124.83</v>
      </c>
      <c r="H186" s="3">
        <v>5</v>
      </c>
      <c r="I186" s="3">
        <v>140.77000000000001</v>
      </c>
      <c r="J186" s="3">
        <v>703.83</v>
      </c>
      <c r="K186" s="3">
        <v>2.9</v>
      </c>
    </row>
    <row r="187" spans="1:11" x14ac:dyDescent="0.35">
      <c r="A187" s="3" t="s">
        <v>199</v>
      </c>
      <c r="B187" s="18">
        <v>45768</v>
      </c>
      <c r="C187" s="3" t="s">
        <v>9</v>
      </c>
      <c r="D187" s="3" t="s">
        <v>18</v>
      </c>
      <c r="E187" s="3">
        <v>40</v>
      </c>
      <c r="F187" s="3">
        <v>40204</v>
      </c>
      <c r="G187" s="3">
        <v>382.12</v>
      </c>
      <c r="H187" s="3">
        <v>1</v>
      </c>
      <c r="I187" s="3">
        <v>1586.72</v>
      </c>
      <c r="J187" s="3">
        <v>1586.72</v>
      </c>
      <c r="K187" s="3">
        <v>3.8</v>
      </c>
    </row>
    <row r="188" spans="1:11" x14ac:dyDescent="0.35">
      <c r="A188" s="3" t="s">
        <v>200</v>
      </c>
      <c r="B188" s="18">
        <v>45768</v>
      </c>
      <c r="C188" s="3" t="s">
        <v>12</v>
      </c>
      <c r="D188" s="3" t="s">
        <v>18</v>
      </c>
      <c r="E188" s="3">
        <v>33</v>
      </c>
      <c r="F188" s="3">
        <v>24880</v>
      </c>
      <c r="G188" s="3">
        <v>87.26</v>
      </c>
      <c r="H188" s="3">
        <v>6</v>
      </c>
      <c r="I188" s="3">
        <v>108.51</v>
      </c>
      <c r="J188" s="3">
        <v>651.05999999999995</v>
      </c>
      <c r="K188" s="3">
        <v>3.9</v>
      </c>
    </row>
    <row r="189" spans="1:11" x14ac:dyDescent="0.35">
      <c r="A189" s="3" t="s">
        <v>201</v>
      </c>
      <c r="B189" s="18">
        <v>45769</v>
      </c>
      <c r="C189" s="3" t="s">
        <v>23</v>
      </c>
      <c r="D189" s="3" t="s">
        <v>10</v>
      </c>
      <c r="E189" s="3">
        <v>42</v>
      </c>
      <c r="F189" s="3">
        <v>17834</v>
      </c>
      <c r="G189" s="3">
        <v>321.42</v>
      </c>
      <c r="H189" s="3">
        <v>5</v>
      </c>
      <c r="I189" s="3">
        <v>262.52999999999997</v>
      </c>
      <c r="J189" s="3">
        <v>1312.65</v>
      </c>
      <c r="K189" s="3">
        <v>3.8</v>
      </c>
    </row>
    <row r="190" spans="1:11" x14ac:dyDescent="0.35">
      <c r="A190" s="3" t="s">
        <v>202</v>
      </c>
      <c r="B190" s="18">
        <v>45769</v>
      </c>
      <c r="C190" s="3" t="s">
        <v>12</v>
      </c>
      <c r="D190" s="3" t="s">
        <v>16</v>
      </c>
      <c r="E190" s="3">
        <v>40</v>
      </c>
      <c r="F190" s="3">
        <v>26284</v>
      </c>
      <c r="G190" s="3">
        <v>160.41</v>
      </c>
      <c r="H190" s="3">
        <v>7</v>
      </c>
      <c r="I190" s="3">
        <v>120.19</v>
      </c>
      <c r="J190" s="3">
        <v>841.36</v>
      </c>
      <c r="K190" s="3">
        <v>1.6</v>
      </c>
    </row>
    <row r="191" spans="1:11" x14ac:dyDescent="0.35">
      <c r="A191" s="3" t="s">
        <v>203</v>
      </c>
      <c r="B191" s="18">
        <v>45770</v>
      </c>
      <c r="C191" s="3" t="s">
        <v>14</v>
      </c>
      <c r="D191" s="3" t="s">
        <v>21</v>
      </c>
      <c r="E191" s="3">
        <v>34</v>
      </c>
      <c r="F191" s="3">
        <v>21146</v>
      </c>
      <c r="G191" s="3">
        <v>225.18</v>
      </c>
      <c r="H191" s="3">
        <v>3</v>
      </c>
      <c r="I191" s="3">
        <v>407.32</v>
      </c>
      <c r="J191" s="3">
        <v>1221.96</v>
      </c>
      <c r="K191" s="3">
        <v>3.1</v>
      </c>
    </row>
    <row r="192" spans="1:11" x14ac:dyDescent="0.35">
      <c r="A192" s="3" t="s">
        <v>204</v>
      </c>
      <c r="B192" s="18">
        <v>45771</v>
      </c>
      <c r="C192" s="3" t="s">
        <v>9</v>
      </c>
      <c r="D192" s="3" t="s">
        <v>21</v>
      </c>
      <c r="E192" s="3">
        <v>27</v>
      </c>
      <c r="F192" s="3">
        <v>84421</v>
      </c>
      <c r="G192" s="3">
        <v>179.91</v>
      </c>
      <c r="H192" s="3">
        <v>4</v>
      </c>
      <c r="I192" s="3">
        <v>260.98</v>
      </c>
      <c r="J192" s="3">
        <v>1043.92</v>
      </c>
      <c r="K192" s="3">
        <v>4</v>
      </c>
    </row>
    <row r="193" spans="1:11" x14ac:dyDescent="0.35">
      <c r="A193" s="3" t="s">
        <v>205</v>
      </c>
      <c r="B193" s="18">
        <v>45771</v>
      </c>
      <c r="C193" s="3" t="s">
        <v>12</v>
      </c>
      <c r="D193" s="3" t="s">
        <v>16</v>
      </c>
      <c r="E193" s="3">
        <v>20</v>
      </c>
      <c r="F193" s="3">
        <v>56434</v>
      </c>
      <c r="G193" s="3">
        <v>210.05</v>
      </c>
      <c r="H193" s="3">
        <v>7</v>
      </c>
      <c r="I193" s="3">
        <v>148.15</v>
      </c>
      <c r="J193" s="3">
        <v>1037.07</v>
      </c>
      <c r="K193" s="3">
        <v>3.2</v>
      </c>
    </row>
    <row r="194" spans="1:11" x14ac:dyDescent="0.35">
      <c r="A194" s="3" t="s">
        <v>206</v>
      </c>
      <c r="B194" s="18">
        <v>45772</v>
      </c>
      <c r="C194" s="3" t="s">
        <v>9</v>
      </c>
      <c r="D194" s="3" t="s">
        <v>10</v>
      </c>
      <c r="E194" s="3">
        <v>31</v>
      </c>
      <c r="F194" s="3">
        <v>36171</v>
      </c>
      <c r="G194" s="3">
        <v>373.57</v>
      </c>
      <c r="H194" s="3">
        <v>3</v>
      </c>
      <c r="I194" s="3">
        <v>509.49</v>
      </c>
      <c r="J194" s="3">
        <v>1528.46</v>
      </c>
      <c r="K194" s="3">
        <v>3.5</v>
      </c>
    </row>
    <row r="195" spans="1:11" x14ac:dyDescent="0.35">
      <c r="A195" s="3" t="s">
        <v>207</v>
      </c>
      <c r="B195" s="18">
        <v>45772</v>
      </c>
      <c r="C195" s="3" t="s">
        <v>12</v>
      </c>
      <c r="D195" s="3" t="s">
        <v>18</v>
      </c>
      <c r="E195" s="3">
        <v>44</v>
      </c>
      <c r="F195" s="3">
        <v>76113</v>
      </c>
      <c r="G195" s="3">
        <v>183.7</v>
      </c>
      <c r="H195" s="3">
        <v>2</v>
      </c>
      <c r="I195" s="3">
        <v>463.72</v>
      </c>
      <c r="J195" s="3">
        <v>927.44</v>
      </c>
      <c r="K195" s="3">
        <v>3.3</v>
      </c>
    </row>
    <row r="196" spans="1:11" x14ac:dyDescent="0.35">
      <c r="A196" s="3" t="s">
        <v>208</v>
      </c>
      <c r="B196" s="18">
        <v>45773</v>
      </c>
      <c r="C196" s="3" t="s">
        <v>9</v>
      </c>
      <c r="D196" s="3" t="s">
        <v>16</v>
      </c>
      <c r="E196" s="3">
        <v>37</v>
      </c>
      <c r="F196" s="3">
        <v>37748</v>
      </c>
      <c r="G196" s="3">
        <v>304.88</v>
      </c>
      <c r="H196" s="3">
        <v>1</v>
      </c>
      <c r="I196" s="3">
        <v>1354.7</v>
      </c>
      <c r="J196" s="3">
        <v>1354.7</v>
      </c>
      <c r="K196" s="3">
        <v>2.8</v>
      </c>
    </row>
    <row r="197" spans="1:11" x14ac:dyDescent="0.35">
      <c r="A197" s="3" t="s">
        <v>209</v>
      </c>
      <c r="B197" s="18">
        <v>45774</v>
      </c>
      <c r="C197" s="3" t="s">
        <v>14</v>
      </c>
      <c r="D197" s="3" t="s">
        <v>21</v>
      </c>
      <c r="E197" s="3">
        <v>23</v>
      </c>
      <c r="F197" s="3">
        <v>23608</v>
      </c>
      <c r="G197" s="3">
        <v>264.22000000000003</v>
      </c>
      <c r="H197" s="3">
        <v>6</v>
      </c>
      <c r="I197" s="3">
        <v>182.28</v>
      </c>
      <c r="J197" s="3">
        <v>1093.68</v>
      </c>
      <c r="K197" s="3">
        <v>3.2</v>
      </c>
    </row>
    <row r="198" spans="1:11" x14ac:dyDescent="0.35">
      <c r="A198" s="3" t="s">
        <v>210</v>
      </c>
      <c r="B198" s="18">
        <v>45774</v>
      </c>
      <c r="C198" s="3" t="s">
        <v>9</v>
      </c>
      <c r="D198" s="3" t="s">
        <v>16</v>
      </c>
      <c r="E198" s="3">
        <v>37</v>
      </c>
      <c r="F198" s="3">
        <v>77774</v>
      </c>
      <c r="G198" s="3">
        <v>348.65</v>
      </c>
      <c r="H198" s="3">
        <v>5</v>
      </c>
      <c r="I198" s="3">
        <v>285.02</v>
      </c>
      <c r="J198" s="3">
        <v>1425.09</v>
      </c>
      <c r="K198" s="3">
        <v>3.1</v>
      </c>
    </row>
    <row r="199" spans="1:11" x14ac:dyDescent="0.35">
      <c r="A199" s="3" t="s">
        <v>211</v>
      </c>
      <c r="B199" s="18">
        <v>45775</v>
      </c>
      <c r="C199" s="3" t="s">
        <v>12</v>
      </c>
      <c r="D199" s="3" t="s">
        <v>10</v>
      </c>
      <c r="E199" s="3">
        <v>39</v>
      </c>
      <c r="F199" s="3">
        <v>47546</v>
      </c>
      <c r="G199" s="3">
        <v>471.57</v>
      </c>
      <c r="H199" s="3">
        <v>5</v>
      </c>
      <c r="I199" s="3">
        <v>341.11</v>
      </c>
      <c r="J199" s="3">
        <v>1705.54</v>
      </c>
      <c r="K199" s="3">
        <v>3.5</v>
      </c>
    </row>
    <row r="200" spans="1:11" x14ac:dyDescent="0.35">
      <c r="A200" s="3" t="s">
        <v>212</v>
      </c>
      <c r="B200" s="18">
        <v>45775</v>
      </c>
      <c r="C200" s="3" t="s">
        <v>9</v>
      </c>
      <c r="D200" s="3" t="s">
        <v>10</v>
      </c>
      <c r="E200" s="3">
        <v>26</v>
      </c>
      <c r="F200" s="3">
        <v>21620</v>
      </c>
      <c r="G200" s="3">
        <v>379.66</v>
      </c>
      <c r="H200" s="3">
        <v>1</v>
      </c>
      <c r="I200" s="3">
        <v>1576.85</v>
      </c>
      <c r="J200" s="3">
        <v>1576.85</v>
      </c>
      <c r="K200" s="3">
        <v>3.9</v>
      </c>
    </row>
    <row r="201" spans="1:11" x14ac:dyDescent="0.35">
      <c r="A201" s="3" t="s">
        <v>213</v>
      </c>
      <c r="B201" s="18">
        <v>45776</v>
      </c>
      <c r="C201" s="3" t="s">
        <v>14</v>
      </c>
      <c r="D201" s="3" t="s">
        <v>18</v>
      </c>
      <c r="E201" s="3">
        <v>37</v>
      </c>
      <c r="F201" s="3">
        <v>33019</v>
      </c>
      <c r="G201" s="3">
        <v>146.72</v>
      </c>
      <c r="H201" s="3">
        <v>6</v>
      </c>
      <c r="I201" s="3">
        <v>141.88</v>
      </c>
      <c r="J201" s="3">
        <v>851.28</v>
      </c>
      <c r="K201" s="3">
        <v>2.1</v>
      </c>
    </row>
    <row r="202" spans="1:11" x14ac:dyDescent="0.35">
      <c r="A202" s="3" t="s">
        <v>214</v>
      </c>
      <c r="B202" s="18">
        <v>45777</v>
      </c>
      <c r="C202" s="3" t="s">
        <v>23</v>
      </c>
      <c r="D202" s="3" t="s">
        <v>16</v>
      </c>
      <c r="E202" s="3">
        <v>36</v>
      </c>
      <c r="F202" s="3">
        <v>23440</v>
      </c>
      <c r="G202" s="3">
        <v>64.03</v>
      </c>
      <c r="H202" s="3">
        <v>1</v>
      </c>
      <c r="I202" s="3">
        <v>496.24</v>
      </c>
      <c r="J202" s="3">
        <v>496.24</v>
      </c>
      <c r="K202" s="3">
        <v>3.1</v>
      </c>
    </row>
    <row r="203" spans="1:11" x14ac:dyDescent="0.35">
      <c r="A203" s="3" t="s">
        <v>215</v>
      </c>
      <c r="B203" s="18">
        <v>45777</v>
      </c>
      <c r="C203" s="3" t="s">
        <v>9</v>
      </c>
      <c r="D203" s="3" t="s">
        <v>21</v>
      </c>
      <c r="E203" s="3">
        <v>24</v>
      </c>
      <c r="F203" s="3">
        <v>18190</v>
      </c>
      <c r="G203" s="3">
        <v>168.02</v>
      </c>
      <c r="H203" s="3">
        <v>2</v>
      </c>
      <c r="I203" s="3">
        <v>496.79</v>
      </c>
      <c r="J203" s="3">
        <v>993.58</v>
      </c>
      <c r="K203" s="3">
        <v>2.6</v>
      </c>
    </row>
    <row r="204" spans="1:11" x14ac:dyDescent="0.35">
      <c r="A204" s="3" t="s">
        <v>216</v>
      </c>
      <c r="B204" s="18">
        <v>45778</v>
      </c>
      <c r="C204" s="3" t="s">
        <v>12</v>
      </c>
      <c r="D204" s="3" t="s">
        <v>10</v>
      </c>
      <c r="E204" s="3">
        <v>39</v>
      </c>
      <c r="F204" s="3">
        <v>57704</v>
      </c>
      <c r="G204" s="3">
        <v>317.79000000000002</v>
      </c>
      <c r="H204" s="3">
        <v>3</v>
      </c>
      <c r="I204" s="3">
        <v>436.29</v>
      </c>
      <c r="J204" s="3">
        <v>1308.8699999999999</v>
      </c>
      <c r="K204" s="3">
        <v>3.3</v>
      </c>
    </row>
    <row r="205" spans="1:11" x14ac:dyDescent="0.35">
      <c r="A205" s="3" t="s">
        <v>217</v>
      </c>
      <c r="B205" s="18">
        <v>45779</v>
      </c>
      <c r="C205" s="3" t="s">
        <v>9</v>
      </c>
      <c r="D205" s="3" t="s">
        <v>18</v>
      </c>
      <c r="E205" s="3">
        <v>41</v>
      </c>
      <c r="F205" s="3">
        <v>94345</v>
      </c>
      <c r="G205" s="3">
        <v>73.14</v>
      </c>
      <c r="H205" s="3">
        <v>7</v>
      </c>
      <c r="I205" s="3">
        <v>72.41</v>
      </c>
      <c r="J205" s="3">
        <v>506.9</v>
      </c>
      <c r="K205" s="3">
        <v>1.5</v>
      </c>
    </row>
    <row r="206" spans="1:11" x14ac:dyDescent="0.35">
      <c r="A206" s="3" t="s">
        <v>218</v>
      </c>
      <c r="B206" s="18">
        <v>45779</v>
      </c>
      <c r="C206" s="3" t="s">
        <v>12</v>
      </c>
      <c r="D206" s="3" t="s">
        <v>18</v>
      </c>
      <c r="E206" s="3">
        <v>46</v>
      </c>
      <c r="F206" s="3">
        <v>18047</v>
      </c>
      <c r="G206" s="3">
        <v>273.36</v>
      </c>
      <c r="H206" s="3">
        <v>5</v>
      </c>
      <c r="I206" s="3">
        <v>256.54000000000002</v>
      </c>
      <c r="J206" s="3">
        <v>1282.71</v>
      </c>
      <c r="K206" s="3">
        <v>3.5</v>
      </c>
    </row>
    <row r="207" spans="1:11" x14ac:dyDescent="0.35">
      <c r="A207" s="3" t="s">
        <v>219</v>
      </c>
      <c r="B207" s="18">
        <v>45780</v>
      </c>
      <c r="C207" s="3" t="s">
        <v>14</v>
      </c>
      <c r="D207" s="3" t="s">
        <v>18</v>
      </c>
      <c r="E207" s="3">
        <v>46</v>
      </c>
      <c r="F207" s="3">
        <v>48122</v>
      </c>
      <c r="G207" s="3">
        <v>318.58</v>
      </c>
      <c r="H207" s="3">
        <v>2</v>
      </c>
      <c r="I207" s="3">
        <v>746.61</v>
      </c>
      <c r="J207" s="3">
        <v>1493.22</v>
      </c>
      <c r="K207" s="3">
        <v>4.2</v>
      </c>
    </row>
    <row r="208" spans="1:11" x14ac:dyDescent="0.35">
      <c r="A208" s="3" t="s">
        <v>220</v>
      </c>
      <c r="B208" s="18">
        <v>45780</v>
      </c>
      <c r="C208" s="3" t="s">
        <v>23</v>
      </c>
      <c r="D208" s="3" t="s">
        <v>21</v>
      </c>
      <c r="E208" s="3">
        <v>21</v>
      </c>
      <c r="F208" s="3">
        <v>26231</v>
      </c>
      <c r="G208" s="3">
        <v>200.41</v>
      </c>
      <c r="H208" s="3">
        <v>3</v>
      </c>
      <c r="I208" s="3">
        <v>388.68</v>
      </c>
      <c r="J208" s="3">
        <v>1166.03</v>
      </c>
      <c r="K208" s="3">
        <v>2.7</v>
      </c>
    </row>
    <row r="209" spans="1:11" x14ac:dyDescent="0.35">
      <c r="A209" s="3" t="s">
        <v>221</v>
      </c>
      <c r="B209" s="18">
        <v>45781</v>
      </c>
      <c r="C209" s="3" t="s">
        <v>12</v>
      </c>
      <c r="D209" s="3" t="s">
        <v>21</v>
      </c>
      <c r="E209" s="3">
        <v>26</v>
      </c>
      <c r="F209" s="3">
        <v>28465</v>
      </c>
      <c r="G209" s="3">
        <v>396.91</v>
      </c>
      <c r="H209" s="3">
        <v>2</v>
      </c>
      <c r="I209" s="3">
        <v>811.7</v>
      </c>
      <c r="J209" s="3">
        <v>1623.4</v>
      </c>
      <c r="K209" s="3">
        <v>2.7</v>
      </c>
    </row>
    <row r="210" spans="1:11" x14ac:dyDescent="0.35">
      <c r="A210" s="3" t="s">
        <v>222</v>
      </c>
      <c r="B210" s="18">
        <v>45782</v>
      </c>
      <c r="C210" s="3" t="s">
        <v>12</v>
      </c>
      <c r="D210" s="3" t="s">
        <v>10</v>
      </c>
      <c r="E210" s="3">
        <v>40</v>
      </c>
      <c r="F210" s="3">
        <v>27006</v>
      </c>
      <c r="G210" s="3">
        <v>97.97</v>
      </c>
      <c r="H210" s="3">
        <v>6</v>
      </c>
      <c r="I210" s="3">
        <v>131.63</v>
      </c>
      <c r="J210" s="3">
        <v>789.8</v>
      </c>
      <c r="K210" s="3">
        <v>2.8</v>
      </c>
    </row>
    <row r="211" spans="1:11" x14ac:dyDescent="0.35">
      <c r="A211" s="3" t="s">
        <v>223</v>
      </c>
      <c r="B211" s="18">
        <v>45782</v>
      </c>
      <c r="C211" s="3" t="s">
        <v>12</v>
      </c>
      <c r="D211" s="3" t="s">
        <v>18</v>
      </c>
      <c r="E211" s="3">
        <v>40</v>
      </c>
      <c r="F211" s="3">
        <v>23576</v>
      </c>
      <c r="G211" s="3">
        <v>83.81</v>
      </c>
      <c r="H211" s="3">
        <v>5</v>
      </c>
      <c r="I211" s="3">
        <v>131.02000000000001</v>
      </c>
      <c r="J211" s="3">
        <v>655.11</v>
      </c>
      <c r="K211" s="3">
        <v>3.4</v>
      </c>
    </row>
    <row r="212" spans="1:11" x14ac:dyDescent="0.35">
      <c r="A212" s="3" t="s">
        <v>224</v>
      </c>
      <c r="B212" s="18">
        <v>45783</v>
      </c>
      <c r="C212" s="3" t="s">
        <v>23</v>
      </c>
      <c r="D212" s="3" t="s">
        <v>21</v>
      </c>
      <c r="E212" s="3">
        <v>40</v>
      </c>
      <c r="F212" s="3">
        <v>37207</v>
      </c>
      <c r="G212" s="3">
        <v>377.68</v>
      </c>
      <c r="H212" s="3">
        <v>7</v>
      </c>
      <c r="I212" s="3">
        <v>226.4</v>
      </c>
      <c r="J212" s="3">
        <v>1584.77</v>
      </c>
      <c r="K212" s="3">
        <v>2.5</v>
      </c>
    </row>
    <row r="213" spans="1:11" x14ac:dyDescent="0.35">
      <c r="A213" s="3" t="s">
        <v>225</v>
      </c>
      <c r="B213" s="18">
        <v>45783</v>
      </c>
      <c r="C213" s="3" t="s">
        <v>23</v>
      </c>
      <c r="D213" s="3" t="s">
        <v>21</v>
      </c>
      <c r="E213" s="3">
        <v>70</v>
      </c>
      <c r="F213" s="3">
        <v>23969</v>
      </c>
      <c r="G213" s="3">
        <v>272.97000000000003</v>
      </c>
      <c r="H213" s="3">
        <v>1</v>
      </c>
      <c r="I213" s="3">
        <v>1334.2</v>
      </c>
      <c r="J213" s="3">
        <v>1334.2</v>
      </c>
      <c r="K213" s="3">
        <v>2.5</v>
      </c>
    </row>
    <row r="214" spans="1:11" x14ac:dyDescent="0.35">
      <c r="A214" s="3" t="s">
        <v>226</v>
      </c>
      <c r="B214" s="18">
        <v>45784</v>
      </c>
      <c r="C214" s="3" t="s">
        <v>14</v>
      </c>
      <c r="D214" s="3" t="s">
        <v>16</v>
      </c>
      <c r="E214" s="3">
        <v>41</v>
      </c>
      <c r="F214" s="3">
        <v>41574</v>
      </c>
      <c r="G214" s="3">
        <v>359.78</v>
      </c>
      <c r="H214" s="3">
        <v>35</v>
      </c>
      <c r="I214" s="3">
        <v>1593.48</v>
      </c>
      <c r="J214" s="3">
        <v>3950</v>
      </c>
      <c r="K214" s="3">
        <v>3.1</v>
      </c>
    </row>
    <row r="215" spans="1:11" x14ac:dyDescent="0.35">
      <c r="A215" s="3" t="s">
        <v>227</v>
      </c>
      <c r="B215" s="18">
        <v>45785</v>
      </c>
      <c r="C215" s="3" t="s">
        <v>12</v>
      </c>
      <c r="D215" s="3" t="s">
        <v>21</v>
      </c>
      <c r="E215" s="3">
        <v>46</v>
      </c>
      <c r="F215" s="3">
        <v>35415</v>
      </c>
      <c r="G215" s="3">
        <v>245.67</v>
      </c>
      <c r="H215" s="3">
        <v>3</v>
      </c>
      <c r="I215" s="3">
        <v>350.01</v>
      </c>
      <c r="J215" s="3">
        <v>1050.03</v>
      </c>
      <c r="K215" s="3">
        <v>2.4</v>
      </c>
    </row>
    <row r="216" spans="1:11" x14ac:dyDescent="0.35">
      <c r="A216" s="3" t="s">
        <v>228</v>
      </c>
      <c r="B216" s="18">
        <v>45785</v>
      </c>
      <c r="C216" s="3" t="s">
        <v>12</v>
      </c>
      <c r="D216" s="3" t="s">
        <v>16</v>
      </c>
      <c r="E216" s="3">
        <v>45</v>
      </c>
      <c r="F216" s="3">
        <v>32226</v>
      </c>
      <c r="G216" s="3">
        <v>160.88</v>
      </c>
      <c r="H216" s="3">
        <v>7</v>
      </c>
      <c r="I216" s="3">
        <v>146.13</v>
      </c>
      <c r="J216" s="3">
        <v>1022.94</v>
      </c>
      <c r="K216" s="3">
        <v>2.4</v>
      </c>
    </row>
    <row r="217" spans="1:11" x14ac:dyDescent="0.35">
      <c r="A217" s="3" t="s">
        <v>229</v>
      </c>
      <c r="B217" s="18">
        <v>45786</v>
      </c>
      <c r="C217" s="3" t="s">
        <v>14</v>
      </c>
      <c r="D217" s="3" t="s">
        <v>18</v>
      </c>
      <c r="E217" s="3">
        <v>42</v>
      </c>
      <c r="F217" s="3">
        <v>23068</v>
      </c>
      <c r="G217" s="3">
        <v>418.6</v>
      </c>
      <c r="H217" s="3">
        <v>4</v>
      </c>
      <c r="I217" s="3">
        <v>459.98</v>
      </c>
      <c r="J217" s="3">
        <v>1839.93</v>
      </c>
      <c r="K217" s="3">
        <v>2.2999999999999998</v>
      </c>
    </row>
    <row r="218" spans="1:11" x14ac:dyDescent="0.35">
      <c r="A218" s="3" t="s">
        <v>230</v>
      </c>
      <c r="B218" s="18">
        <v>45786</v>
      </c>
      <c r="C218" s="3" t="s">
        <v>12</v>
      </c>
      <c r="D218" s="3" t="s">
        <v>18</v>
      </c>
      <c r="E218" s="3">
        <v>32</v>
      </c>
      <c r="F218" s="3">
        <v>27217</v>
      </c>
      <c r="G218" s="3">
        <v>409.74</v>
      </c>
      <c r="H218" s="3">
        <v>6</v>
      </c>
      <c r="I218" s="3">
        <v>275.19</v>
      </c>
      <c r="J218" s="3">
        <v>1651.12</v>
      </c>
      <c r="K218" s="3">
        <v>3.8</v>
      </c>
    </row>
    <row r="219" spans="1:11" x14ac:dyDescent="0.35">
      <c r="A219" s="3" t="s">
        <v>231</v>
      </c>
      <c r="B219" s="18">
        <v>45787</v>
      </c>
      <c r="C219" s="3" t="s">
        <v>9</v>
      </c>
      <c r="D219" s="3" t="s">
        <v>21</v>
      </c>
      <c r="E219" s="3">
        <v>43</v>
      </c>
      <c r="F219" s="3">
        <v>52981</v>
      </c>
      <c r="G219" s="3">
        <v>362.61</v>
      </c>
      <c r="H219" s="3">
        <v>3</v>
      </c>
      <c r="I219" s="3">
        <v>527.34</v>
      </c>
      <c r="J219" s="3">
        <v>1582.02</v>
      </c>
      <c r="K219" s="3">
        <v>3.6</v>
      </c>
    </row>
    <row r="220" spans="1:11" x14ac:dyDescent="0.35">
      <c r="A220" s="3" t="s">
        <v>232</v>
      </c>
      <c r="B220" s="18">
        <v>45788</v>
      </c>
      <c r="C220" s="3" t="s">
        <v>9</v>
      </c>
      <c r="D220" s="3" t="s">
        <v>21</v>
      </c>
      <c r="E220" s="3">
        <v>27</v>
      </c>
      <c r="F220" s="3">
        <v>46651</v>
      </c>
      <c r="G220" s="3">
        <v>172.47</v>
      </c>
      <c r="H220" s="3">
        <v>4</v>
      </c>
      <c r="I220" s="3">
        <v>245.36</v>
      </c>
      <c r="J220" s="3">
        <v>981.43</v>
      </c>
      <c r="K220" s="3">
        <v>1.8</v>
      </c>
    </row>
    <row r="221" spans="1:11" x14ac:dyDescent="0.35">
      <c r="A221" s="3" t="s">
        <v>233</v>
      </c>
      <c r="B221" s="18">
        <v>45788</v>
      </c>
      <c r="C221" s="3" t="s">
        <v>14</v>
      </c>
      <c r="D221" s="3" t="s">
        <v>18</v>
      </c>
      <c r="E221" s="3">
        <v>33</v>
      </c>
      <c r="F221" s="3">
        <v>22275</v>
      </c>
      <c r="G221" s="3">
        <v>315.60000000000002</v>
      </c>
      <c r="H221" s="3">
        <v>2</v>
      </c>
      <c r="I221" s="3">
        <v>710.38</v>
      </c>
      <c r="J221" s="3">
        <v>1420.77</v>
      </c>
      <c r="K221" s="3">
        <v>4.0999999999999996</v>
      </c>
    </row>
    <row r="222" spans="1:11" x14ac:dyDescent="0.35">
      <c r="A222" s="3" t="s">
        <v>234</v>
      </c>
      <c r="B222" s="18">
        <v>45789</v>
      </c>
      <c r="C222" s="3" t="s">
        <v>14</v>
      </c>
      <c r="D222" s="3" t="s">
        <v>18</v>
      </c>
      <c r="E222" s="3">
        <v>30</v>
      </c>
      <c r="F222" s="3">
        <v>38165</v>
      </c>
      <c r="G222" s="3">
        <v>212.44</v>
      </c>
      <c r="H222" s="3">
        <v>6</v>
      </c>
      <c r="I222" s="3">
        <v>170.96</v>
      </c>
      <c r="J222" s="3">
        <v>1025.78</v>
      </c>
      <c r="K222" s="3">
        <v>3.9</v>
      </c>
    </row>
    <row r="223" spans="1:11" x14ac:dyDescent="0.35">
      <c r="A223" s="3" t="s">
        <v>235</v>
      </c>
      <c r="B223" s="18">
        <v>45789</v>
      </c>
      <c r="C223" s="3" t="s">
        <v>9</v>
      </c>
      <c r="D223" s="3" t="s">
        <v>18</v>
      </c>
      <c r="E223" s="3">
        <v>36</v>
      </c>
      <c r="F223" s="3">
        <v>52875</v>
      </c>
      <c r="G223" s="3">
        <v>91.21</v>
      </c>
      <c r="H223" s="3">
        <v>2</v>
      </c>
      <c r="I223" s="3">
        <v>314.07</v>
      </c>
      <c r="J223" s="3">
        <v>628.14</v>
      </c>
      <c r="K223" s="3">
        <v>2</v>
      </c>
    </row>
    <row r="224" spans="1:11" x14ac:dyDescent="0.35">
      <c r="A224" s="3" t="s">
        <v>236</v>
      </c>
      <c r="B224" s="18">
        <v>45790</v>
      </c>
      <c r="C224" s="3" t="s">
        <v>12</v>
      </c>
      <c r="D224" s="3" t="s">
        <v>21</v>
      </c>
      <c r="E224" s="3">
        <v>58</v>
      </c>
      <c r="F224" s="3">
        <v>15761</v>
      </c>
      <c r="G224" s="3">
        <v>462.79</v>
      </c>
      <c r="H224" s="3">
        <v>7</v>
      </c>
      <c r="I224" s="3">
        <v>266.98</v>
      </c>
      <c r="J224" s="3">
        <v>1868.88</v>
      </c>
      <c r="K224" s="3">
        <v>4.3</v>
      </c>
    </row>
    <row r="225" spans="1:11" x14ac:dyDescent="0.35">
      <c r="A225" s="3" t="s">
        <v>237</v>
      </c>
      <c r="B225" s="18">
        <v>45791</v>
      </c>
      <c r="C225" s="3" t="s">
        <v>12</v>
      </c>
      <c r="D225" s="3" t="s">
        <v>18</v>
      </c>
      <c r="E225" s="3">
        <v>18</v>
      </c>
      <c r="F225" s="3">
        <v>47652</v>
      </c>
      <c r="G225" s="3">
        <v>111.57</v>
      </c>
      <c r="H225" s="3">
        <v>5</v>
      </c>
      <c r="I225" s="3">
        <v>168.17</v>
      </c>
      <c r="J225" s="3">
        <v>840.84</v>
      </c>
      <c r="K225" s="3">
        <v>2.2999999999999998</v>
      </c>
    </row>
    <row r="226" spans="1:11" x14ac:dyDescent="0.35">
      <c r="A226" s="3" t="s">
        <v>238</v>
      </c>
      <c r="B226" s="18">
        <v>45791</v>
      </c>
      <c r="C226" s="3" t="s">
        <v>12</v>
      </c>
      <c r="D226" s="3" t="s">
        <v>18</v>
      </c>
      <c r="E226" s="3">
        <v>42</v>
      </c>
      <c r="F226" s="3">
        <v>26074</v>
      </c>
      <c r="G226" s="3">
        <v>477.61</v>
      </c>
      <c r="H226" s="3">
        <v>6</v>
      </c>
      <c r="I226" s="3">
        <v>326.97000000000003</v>
      </c>
      <c r="J226" s="3">
        <v>1961.84</v>
      </c>
      <c r="K226" s="3">
        <v>3.8</v>
      </c>
    </row>
    <row r="227" spans="1:11" x14ac:dyDescent="0.35">
      <c r="A227" s="3" t="s">
        <v>239</v>
      </c>
      <c r="B227" s="18">
        <v>45792</v>
      </c>
      <c r="C227" s="3" t="s">
        <v>14</v>
      </c>
      <c r="D227" s="3" t="s">
        <v>18</v>
      </c>
      <c r="E227" s="3">
        <v>19</v>
      </c>
      <c r="F227" s="3">
        <v>48305</v>
      </c>
      <c r="G227" s="3">
        <v>250.7</v>
      </c>
      <c r="H227" s="3">
        <v>4</v>
      </c>
      <c r="I227" s="3">
        <v>290.64999999999998</v>
      </c>
      <c r="J227" s="3">
        <v>1162.5899999999999</v>
      </c>
      <c r="K227" s="3">
        <v>2.5</v>
      </c>
    </row>
    <row r="228" spans="1:11" x14ac:dyDescent="0.35">
      <c r="A228" s="3" t="s">
        <v>240</v>
      </c>
      <c r="B228" s="18">
        <v>45792</v>
      </c>
      <c r="C228" s="3" t="s">
        <v>12</v>
      </c>
      <c r="D228" s="3" t="s">
        <v>18</v>
      </c>
      <c r="E228" s="3">
        <v>30</v>
      </c>
      <c r="F228" s="3">
        <v>24794</v>
      </c>
      <c r="G228" s="3">
        <v>133.31</v>
      </c>
      <c r="H228" s="3">
        <v>5</v>
      </c>
      <c r="I228" s="3">
        <v>175.67</v>
      </c>
      <c r="J228" s="3">
        <v>878.33</v>
      </c>
      <c r="K228" s="3">
        <v>4.0999999999999996</v>
      </c>
    </row>
    <row r="229" spans="1:11" x14ac:dyDescent="0.35">
      <c r="A229" s="3" t="s">
        <v>241</v>
      </c>
      <c r="B229" s="18">
        <v>45793</v>
      </c>
      <c r="C229" s="3" t="s">
        <v>14</v>
      </c>
      <c r="D229" s="3" t="s">
        <v>18</v>
      </c>
      <c r="E229" s="3">
        <v>46</v>
      </c>
      <c r="F229" s="3">
        <v>15000</v>
      </c>
      <c r="G229" s="3">
        <v>293.86</v>
      </c>
      <c r="H229" s="3">
        <v>1</v>
      </c>
      <c r="I229" s="3">
        <v>1102.47</v>
      </c>
      <c r="J229" s="3">
        <v>1102.47</v>
      </c>
      <c r="K229" s="3">
        <v>2.8</v>
      </c>
    </row>
    <row r="230" spans="1:11" x14ac:dyDescent="0.35">
      <c r="A230" s="3" t="s">
        <v>242</v>
      </c>
      <c r="B230" s="18">
        <v>45794</v>
      </c>
      <c r="C230" s="3" t="s">
        <v>9</v>
      </c>
      <c r="D230" s="3" t="s">
        <v>18</v>
      </c>
      <c r="E230" s="3">
        <v>36</v>
      </c>
      <c r="F230" s="3">
        <v>16094</v>
      </c>
      <c r="G230" s="3">
        <v>442.83</v>
      </c>
      <c r="H230" s="3">
        <v>4</v>
      </c>
      <c r="I230" s="3">
        <v>474.74</v>
      </c>
      <c r="J230" s="3">
        <v>1898.96</v>
      </c>
      <c r="K230" s="3">
        <v>3.7</v>
      </c>
    </row>
    <row r="231" spans="1:11" x14ac:dyDescent="0.35">
      <c r="A231" s="3" t="s">
        <v>243</v>
      </c>
      <c r="B231" s="18">
        <v>45794</v>
      </c>
      <c r="C231" s="3" t="s">
        <v>9</v>
      </c>
      <c r="D231" s="3" t="s">
        <v>21</v>
      </c>
      <c r="E231" s="3">
        <v>24</v>
      </c>
      <c r="F231" s="3">
        <v>37199</v>
      </c>
      <c r="G231" s="3">
        <v>379.5</v>
      </c>
      <c r="H231" s="3">
        <v>3</v>
      </c>
      <c r="I231" s="3">
        <v>488.41</v>
      </c>
      <c r="J231" s="3">
        <v>1465.22</v>
      </c>
      <c r="K231" s="3">
        <v>2.8</v>
      </c>
    </row>
    <row r="232" spans="1:11" x14ac:dyDescent="0.35">
      <c r="A232" s="3" t="s">
        <v>244</v>
      </c>
      <c r="B232" s="18">
        <v>45795</v>
      </c>
      <c r="C232" s="3" t="s">
        <v>23</v>
      </c>
      <c r="D232" s="3" t="s">
        <v>10</v>
      </c>
      <c r="E232" s="3">
        <v>28</v>
      </c>
      <c r="F232" s="3">
        <v>41351</v>
      </c>
      <c r="G232" s="3">
        <v>412.95</v>
      </c>
      <c r="H232" s="3">
        <v>1</v>
      </c>
      <c r="I232" s="3">
        <v>1682.44</v>
      </c>
      <c r="J232" s="3">
        <v>1682.44</v>
      </c>
      <c r="K232" s="3">
        <v>4.5999999999999996</v>
      </c>
    </row>
    <row r="233" spans="1:11" x14ac:dyDescent="0.35">
      <c r="A233" s="3" t="s">
        <v>245</v>
      </c>
      <c r="B233" s="18">
        <v>45795</v>
      </c>
      <c r="C233" s="3" t="s">
        <v>12</v>
      </c>
      <c r="D233" s="3" t="s">
        <v>21</v>
      </c>
      <c r="E233" s="3">
        <v>42</v>
      </c>
      <c r="F233" s="3">
        <v>23106</v>
      </c>
      <c r="G233" s="3">
        <v>346.45</v>
      </c>
      <c r="H233" s="3">
        <v>1</v>
      </c>
      <c r="I233" s="3">
        <v>1409.07</v>
      </c>
      <c r="J233" s="3">
        <v>1409.07</v>
      </c>
      <c r="K233" s="3">
        <v>4.3</v>
      </c>
    </row>
    <row r="234" spans="1:11" x14ac:dyDescent="0.35">
      <c r="A234" s="3" t="s">
        <v>246</v>
      </c>
      <c r="B234" s="18">
        <v>45796</v>
      </c>
      <c r="C234" s="3" t="s">
        <v>9</v>
      </c>
      <c r="D234" s="3" t="s">
        <v>10</v>
      </c>
      <c r="E234" s="3">
        <v>28</v>
      </c>
      <c r="F234" s="3">
        <v>49976</v>
      </c>
      <c r="G234" s="3">
        <v>361.52</v>
      </c>
      <c r="H234" s="3">
        <v>3</v>
      </c>
      <c r="I234" s="3">
        <v>481.1</v>
      </c>
      <c r="J234" s="3">
        <v>1443.29</v>
      </c>
      <c r="K234" s="3">
        <v>4.2</v>
      </c>
    </row>
    <row r="235" spans="1:11" x14ac:dyDescent="0.35">
      <c r="A235" s="3" t="s">
        <v>247</v>
      </c>
      <c r="B235" s="18">
        <v>45797</v>
      </c>
      <c r="C235" s="3" t="s">
        <v>14</v>
      </c>
      <c r="D235" s="3" t="s">
        <v>10</v>
      </c>
      <c r="E235" s="3">
        <v>37</v>
      </c>
      <c r="F235" s="3">
        <v>15823</v>
      </c>
      <c r="G235" s="3">
        <v>432.14</v>
      </c>
      <c r="H235" s="3">
        <v>6</v>
      </c>
      <c r="I235" s="3">
        <v>310.95</v>
      </c>
      <c r="J235" s="3">
        <v>1865.71</v>
      </c>
      <c r="K235" s="3">
        <v>4.2</v>
      </c>
    </row>
    <row r="236" spans="1:11" x14ac:dyDescent="0.35">
      <c r="A236" s="3" t="s">
        <v>248</v>
      </c>
      <c r="B236" s="18">
        <v>45797</v>
      </c>
      <c r="C236" s="3" t="s">
        <v>12</v>
      </c>
      <c r="D236" s="3" t="s">
        <v>21</v>
      </c>
      <c r="E236" s="3">
        <v>35</v>
      </c>
      <c r="F236" s="3">
        <v>35135</v>
      </c>
      <c r="G236" s="3">
        <v>162.35</v>
      </c>
      <c r="H236" s="3">
        <v>1</v>
      </c>
      <c r="I236" s="3">
        <v>872.1</v>
      </c>
      <c r="J236" s="3">
        <v>872.1</v>
      </c>
      <c r="K236" s="3">
        <v>2.2999999999999998</v>
      </c>
    </row>
    <row r="237" spans="1:11" x14ac:dyDescent="0.35">
      <c r="A237" s="3" t="s">
        <v>249</v>
      </c>
      <c r="B237" s="18">
        <v>45798</v>
      </c>
      <c r="C237" s="3" t="s">
        <v>12</v>
      </c>
      <c r="D237" s="3" t="s">
        <v>21</v>
      </c>
      <c r="E237" s="3">
        <v>28</v>
      </c>
      <c r="F237" s="3">
        <v>19821</v>
      </c>
      <c r="G237" s="3">
        <v>270.24</v>
      </c>
      <c r="H237" s="3">
        <v>7</v>
      </c>
      <c r="I237" s="3">
        <v>183.21</v>
      </c>
      <c r="J237" s="3">
        <v>1282.49</v>
      </c>
      <c r="K237" s="3">
        <v>3.6</v>
      </c>
    </row>
    <row r="238" spans="1:11" x14ac:dyDescent="0.35">
      <c r="A238" s="3" t="s">
        <v>250</v>
      </c>
      <c r="B238" s="18">
        <v>45798</v>
      </c>
      <c r="C238" s="3" t="s">
        <v>9</v>
      </c>
      <c r="D238" s="3" t="s">
        <v>21</v>
      </c>
      <c r="E238" s="3">
        <v>56</v>
      </c>
      <c r="F238" s="3">
        <v>26215</v>
      </c>
      <c r="G238" s="3">
        <v>149.54</v>
      </c>
      <c r="H238" s="3">
        <v>4</v>
      </c>
      <c r="I238" s="3">
        <v>216.19</v>
      </c>
      <c r="J238" s="3">
        <v>864.77</v>
      </c>
      <c r="K238" s="3">
        <v>2.7</v>
      </c>
    </row>
    <row r="239" spans="1:11" x14ac:dyDescent="0.35">
      <c r="A239" s="3" t="s">
        <v>251</v>
      </c>
      <c r="B239" s="18">
        <v>45799</v>
      </c>
      <c r="C239" s="3" t="s">
        <v>14</v>
      </c>
      <c r="D239" s="3" t="s">
        <v>18</v>
      </c>
      <c r="E239" s="3">
        <v>41</v>
      </c>
      <c r="F239" s="3">
        <v>37186</v>
      </c>
      <c r="G239" s="3">
        <v>494.45</v>
      </c>
      <c r="H239" s="3">
        <v>5</v>
      </c>
      <c r="I239" s="3">
        <v>402.08</v>
      </c>
      <c r="J239" s="3">
        <v>2010.4</v>
      </c>
      <c r="K239" s="3">
        <v>4.5</v>
      </c>
    </row>
    <row r="240" spans="1:11" x14ac:dyDescent="0.35">
      <c r="A240" s="3" t="s">
        <v>252</v>
      </c>
      <c r="B240" s="18">
        <v>45800</v>
      </c>
      <c r="C240" s="3" t="s">
        <v>9</v>
      </c>
      <c r="D240" s="3" t="s">
        <v>16</v>
      </c>
      <c r="E240" s="3">
        <v>18</v>
      </c>
      <c r="F240" s="3">
        <v>23619</v>
      </c>
      <c r="G240" s="3">
        <v>474.83</v>
      </c>
      <c r="H240" s="3">
        <v>1</v>
      </c>
      <c r="I240" s="3">
        <v>1915.6</v>
      </c>
      <c r="J240" s="3">
        <v>1915.6</v>
      </c>
      <c r="K240" s="3">
        <v>4.3</v>
      </c>
    </row>
    <row r="241" spans="1:11" x14ac:dyDescent="0.35">
      <c r="A241" s="3" t="s">
        <v>253</v>
      </c>
      <c r="B241" s="18">
        <v>45800</v>
      </c>
      <c r="C241" s="3" t="s">
        <v>9</v>
      </c>
      <c r="D241" s="3" t="s">
        <v>21</v>
      </c>
      <c r="E241" s="3">
        <v>37</v>
      </c>
      <c r="F241" s="3">
        <v>29963</v>
      </c>
      <c r="G241" s="3">
        <v>67.739999999999995</v>
      </c>
      <c r="H241" s="3">
        <v>4</v>
      </c>
      <c r="I241" s="3">
        <v>126.03</v>
      </c>
      <c r="J241" s="3">
        <v>504.13</v>
      </c>
      <c r="K241" s="3">
        <v>2</v>
      </c>
    </row>
    <row r="242" spans="1:11" x14ac:dyDescent="0.35">
      <c r="A242" s="3" t="s">
        <v>254</v>
      </c>
      <c r="B242" s="18">
        <v>45801</v>
      </c>
      <c r="C242" s="3" t="s">
        <v>14</v>
      </c>
      <c r="D242" s="3" t="s">
        <v>16</v>
      </c>
      <c r="E242" s="3">
        <v>28</v>
      </c>
      <c r="F242" s="3">
        <v>60063</v>
      </c>
      <c r="G242" s="3">
        <v>367.51</v>
      </c>
      <c r="H242" s="3">
        <v>2</v>
      </c>
      <c r="I242" s="3">
        <v>822.86</v>
      </c>
      <c r="J242" s="3">
        <v>1645.73</v>
      </c>
      <c r="K242" s="3">
        <v>4</v>
      </c>
    </row>
    <row r="243" spans="1:11" x14ac:dyDescent="0.35">
      <c r="A243" s="3" t="s">
        <v>255</v>
      </c>
      <c r="B243" s="18">
        <v>45801</v>
      </c>
      <c r="C243" s="3" t="s">
        <v>23</v>
      </c>
      <c r="D243" s="3" t="s">
        <v>10</v>
      </c>
      <c r="E243" s="3">
        <v>44</v>
      </c>
      <c r="F243" s="3">
        <v>27216</v>
      </c>
      <c r="G243" s="3">
        <v>466.36</v>
      </c>
      <c r="H243" s="3">
        <v>4</v>
      </c>
      <c r="I243" s="3">
        <v>460.71</v>
      </c>
      <c r="J243" s="3">
        <v>1842.85</v>
      </c>
      <c r="K243" s="3">
        <v>4</v>
      </c>
    </row>
    <row r="244" spans="1:11" x14ac:dyDescent="0.35">
      <c r="A244" s="3" t="s">
        <v>256</v>
      </c>
      <c r="B244" s="18">
        <v>45802</v>
      </c>
      <c r="C244" s="3" t="s">
        <v>23</v>
      </c>
      <c r="D244" s="3" t="s">
        <v>21</v>
      </c>
      <c r="E244" s="3">
        <v>27</v>
      </c>
      <c r="F244" s="3">
        <v>55152</v>
      </c>
      <c r="G244" s="3">
        <v>131.26</v>
      </c>
      <c r="H244" s="3">
        <v>5</v>
      </c>
      <c r="I244" s="3">
        <v>137.1</v>
      </c>
      <c r="J244" s="3">
        <v>685.51</v>
      </c>
      <c r="K244" s="3">
        <v>1</v>
      </c>
    </row>
    <row r="245" spans="1:11" x14ac:dyDescent="0.35">
      <c r="A245" s="3" t="s">
        <v>257</v>
      </c>
      <c r="B245" s="18">
        <v>45803</v>
      </c>
      <c r="C245" s="3" t="s">
        <v>23</v>
      </c>
      <c r="D245" s="3" t="s">
        <v>21</v>
      </c>
      <c r="E245" s="3">
        <v>34</v>
      </c>
      <c r="F245" s="3">
        <v>20643</v>
      </c>
      <c r="G245" s="3">
        <v>305.58</v>
      </c>
      <c r="H245" s="3">
        <v>4</v>
      </c>
      <c r="I245" s="3">
        <v>333.4</v>
      </c>
      <c r="J245" s="3">
        <v>1333.61</v>
      </c>
      <c r="K245" s="3">
        <v>3.6</v>
      </c>
    </row>
    <row r="246" spans="1:11" x14ac:dyDescent="0.35">
      <c r="A246" s="3" t="s">
        <v>258</v>
      </c>
      <c r="B246" s="18">
        <v>45803</v>
      </c>
      <c r="C246" s="3" t="s">
        <v>23</v>
      </c>
      <c r="D246" s="3" t="s">
        <v>10</v>
      </c>
      <c r="E246" s="3">
        <v>40</v>
      </c>
      <c r="F246" s="3">
        <v>47330</v>
      </c>
      <c r="G246" s="3">
        <v>461.97</v>
      </c>
      <c r="H246" s="3">
        <v>3</v>
      </c>
      <c r="I246" s="3">
        <v>662.79</v>
      </c>
      <c r="J246" s="3">
        <v>1988.36</v>
      </c>
      <c r="K246" s="3">
        <v>3.5</v>
      </c>
    </row>
    <row r="247" spans="1:11" x14ac:dyDescent="0.35">
      <c r="A247" s="3" t="s">
        <v>259</v>
      </c>
      <c r="B247" s="18">
        <v>45804</v>
      </c>
      <c r="C247" s="3" t="s">
        <v>14</v>
      </c>
      <c r="D247" s="3" t="s">
        <v>18</v>
      </c>
      <c r="E247" s="3">
        <v>44</v>
      </c>
      <c r="F247" s="3">
        <v>74666</v>
      </c>
      <c r="G247" s="3">
        <v>65.28</v>
      </c>
      <c r="H247" s="3">
        <v>5</v>
      </c>
      <c r="I247" s="3">
        <v>133.38</v>
      </c>
      <c r="J247" s="3">
        <v>666.91</v>
      </c>
      <c r="K247" s="3">
        <v>2</v>
      </c>
    </row>
    <row r="248" spans="1:11" x14ac:dyDescent="0.35">
      <c r="A248" s="3" t="s">
        <v>260</v>
      </c>
      <c r="B248" s="18">
        <v>45804</v>
      </c>
      <c r="C248" s="3" t="s">
        <v>14</v>
      </c>
      <c r="D248" s="3" t="s">
        <v>18</v>
      </c>
      <c r="E248" s="3">
        <v>23</v>
      </c>
      <c r="F248" s="3">
        <v>15000</v>
      </c>
      <c r="G248" s="3">
        <v>363.84</v>
      </c>
      <c r="H248" s="3">
        <v>6</v>
      </c>
      <c r="I248" s="3">
        <v>254.4</v>
      </c>
      <c r="J248" s="3">
        <v>1526.4</v>
      </c>
      <c r="K248" s="3">
        <v>2.8</v>
      </c>
    </row>
    <row r="249" spans="1:11" x14ac:dyDescent="0.35">
      <c r="A249" s="3" t="s">
        <v>261</v>
      </c>
      <c r="B249" s="18">
        <v>45805</v>
      </c>
      <c r="C249" s="3" t="s">
        <v>9</v>
      </c>
      <c r="D249" s="3" t="s">
        <v>21</v>
      </c>
      <c r="E249" s="3">
        <v>32</v>
      </c>
      <c r="F249" s="3">
        <v>24381</v>
      </c>
      <c r="G249" s="3">
        <v>183.81</v>
      </c>
      <c r="H249" s="3">
        <v>2</v>
      </c>
      <c r="I249" s="3">
        <v>475.12</v>
      </c>
      <c r="J249" s="3">
        <v>950.25</v>
      </c>
      <c r="K249" s="3">
        <v>2.7</v>
      </c>
    </row>
    <row r="250" spans="1:11" x14ac:dyDescent="0.35">
      <c r="A250" s="3" t="s">
        <v>262</v>
      </c>
      <c r="B250" s="18">
        <v>45806</v>
      </c>
      <c r="C250" s="3" t="s">
        <v>23</v>
      </c>
      <c r="D250" s="3" t="s">
        <v>21</v>
      </c>
      <c r="E250" s="3">
        <v>30</v>
      </c>
      <c r="F250" s="3">
        <v>48462</v>
      </c>
      <c r="G250" s="3">
        <v>465.98</v>
      </c>
      <c r="H250" s="3">
        <v>3</v>
      </c>
      <c r="I250" s="3">
        <v>618.47</v>
      </c>
      <c r="J250" s="3">
        <v>1855.41</v>
      </c>
      <c r="K250" s="3">
        <v>3.9</v>
      </c>
    </row>
    <row r="251" spans="1:11" x14ac:dyDescent="0.35">
      <c r="A251" s="3" t="s">
        <v>263</v>
      </c>
      <c r="B251" s="18">
        <v>45806</v>
      </c>
      <c r="C251" s="3" t="s">
        <v>14</v>
      </c>
      <c r="D251" s="3" t="s">
        <v>10</v>
      </c>
      <c r="E251" s="3">
        <v>28</v>
      </c>
      <c r="F251" s="3">
        <v>32810</v>
      </c>
      <c r="G251" s="3">
        <v>486.98</v>
      </c>
      <c r="H251" s="3">
        <v>6</v>
      </c>
      <c r="I251" s="3">
        <v>352.41</v>
      </c>
      <c r="J251" s="3">
        <v>2114.48</v>
      </c>
      <c r="K251" s="3">
        <v>3</v>
      </c>
    </row>
    <row r="252" spans="1:11" x14ac:dyDescent="0.35">
      <c r="A252" s="3" t="s">
        <v>264</v>
      </c>
      <c r="B252" s="18">
        <v>45807</v>
      </c>
      <c r="C252" s="3" t="s">
        <v>14</v>
      </c>
      <c r="D252" s="3" t="s">
        <v>21</v>
      </c>
      <c r="E252" s="3">
        <v>53</v>
      </c>
      <c r="F252" s="3">
        <v>43721</v>
      </c>
      <c r="G252" s="3">
        <v>474.92</v>
      </c>
      <c r="H252" s="3">
        <v>4</v>
      </c>
      <c r="I252" s="3">
        <v>485.08</v>
      </c>
      <c r="J252" s="3">
        <v>1940.3</v>
      </c>
      <c r="K252" s="3">
        <v>3.8</v>
      </c>
    </row>
    <row r="253" spans="1:11" x14ac:dyDescent="0.35">
      <c r="A253" s="3" t="s">
        <v>265</v>
      </c>
      <c r="B253" s="18">
        <v>45807</v>
      </c>
      <c r="C253" s="3" t="s">
        <v>14</v>
      </c>
      <c r="D253" s="3" t="s">
        <v>21</v>
      </c>
      <c r="E253" s="3">
        <v>39</v>
      </c>
      <c r="F253" s="3">
        <v>26850</v>
      </c>
      <c r="G253" s="3">
        <v>263.39999999999998</v>
      </c>
      <c r="H253" s="3">
        <v>5</v>
      </c>
      <c r="I253" s="3">
        <v>253.46</v>
      </c>
      <c r="J253" s="3">
        <v>1267.28</v>
      </c>
      <c r="K253" s="3">
        <v>3.4</v>
      </c>
    </row>
    <row r="254" spans="1:11" x14ac:dyDescent="0.35">
      <c r="A254" s="3" t="s">
        <v>266</v>
      </c>
      <c r="B254" s="18">
        <v>45808</v>
      </c>
      <c r="C254" s="3" t="s">
        <v>14</v>
      </c>
      <c r="D254" s="3" t="s">
        <v>21</v>
      </c>
      <c r="E254" s="3">
        <v>22</v>
      </c>
      <c r="F254" s="3">
        <v>37922</v>
      </c>
      <c r="G254" s="3">
        <v>437.92</v>
      </c>
      <c r="H254" s="3">
        <v>2</v>
      </c>
      <c r="I254" s="3">
        <v>936.88</v>
      </c>
      <c r="J254" s="3">
        <v>1873.77</v>
      </c>
      <c r="K254" s="3">
        <v>4.8</v>
      </c>
    </row>
    <row r="255" spans="1:11" x14ac:dyDescent="0.35">
      <c r="A255" s="3" t="s">
        <v>267</v>
      </c>
      <c r="B255" s="18">
        <v>45809</v>
      </c>
      <c r="C255" s="3" t="s">
        <v>12</v>
      </c>
      <c r="D255" s="3" t="s">
        <v>18</v>
      </c>
      <c r="E255" s="3">
        <v>44</v>
      </c>
      <c r="F255" s="3">
        <v>33596</v>
      </c>
      <c r="G255" s="3">
        <v>430.05</v>
      </c>
      <c r="H255" s="3">
        <v>3</v>
      </c>
      <c r="I255" s="3">
        <v>615.09</v>
      </c>
      <c r="J255" s="3">
        <v>1845.26</v>
      </c>
      <c r="K255" s="3">
        <v>3</v>
      </c>
    </row>
    <row r="256" spans="1:11" x14ac:dyDescent="0.35">
      <c r="A256" s="3" t="s">
        <v>268</v>
      </c>
      <c r="B256" s="18">
        <v>45809</v>
      </c>
      <c r="C256" s="3" t="s">
        <v>23</v>
      </c>
      <c r="D256" s="3" t="s">
        <v>16</v>
      </c>
      <c r="E256" s="3">
        <v>56</v>
      </c>
      <c r="F256" s="3">
        <v>65114</v>
      </c>
      <c r="G256" s="3">
        <v>193.6</v>
      </c>
      <c r="H256" s="3">
        <v>6</v>
      </c>
      <c r="I256" s="3">
        <v>174.8</v>
      </c>
      <c r="J256" s="3">
        <v>1048.8</v>
      </c>
      <c r="K256" s="3">
        <v>2.7</v>
      </c>
    </row>
    <row r="257" spans="1:11" x14ac:dyDescent="0.35">
      <c r="A257" s="3" t="s">
        <v>269</v>
      </c>
      <c r="B257" s="18">
        <v>45810</v>
      </c>
      <c r="C257" s="3" t="s">
        <v>12</v>
      </c>
      <c r="D257" s="3" t="s">
        <v>10</v>
      </c>
      <c r="E257" s="3">
        <v>45</v>
      </c>
      <c r="F257" s="3">
        <v>41242</v>
      </c>
      <c r="G257" s="3">
        <v>423.01</v>
      </c>
      <c r="H257" s="3">
        <v>6</v>
      </c>
      <c r="I257" s="3">
        <v>297.99</v>
      </c>
      <c r="J257" s="3">
        <v>1787.92</v>
      </c>
      <c r="K257" s="3">
        <v>3.7</v>
      </c>
    </row>
    <row r="258" spans="1:11" x14ac:dyDescent="0.35">
      <c r="A258" s="3" t="s">
        <v>270</v>
      </c>
      <c r="B258" s="18">
        <v>45810</v>
      </c>
      <c r="C258" s="3" t="s">
        <v>23</v>
      </c>
      <c r="D258" s="3" t="s">
        <v>16</v>
      </c>
      <c r="E258" s="3">
        <v>20</v>
      </c>
      <c r="F258" s="3">
        <v>42993</v>
      </c>
      <c r="G258" s="3">
        <v>66.650000000000006</v>
      </c>
      <c r="H258" s="3">
        <v>2</v>
      </c>
      <c r="I258" s="3">
        <v>328.78</v>
      </c>
      <c r="J258" s="3">
        <v>657.55</v>
      </c>
      <c r="K258" s="3">
        <v>3.2</v>
      </c>
    </row>
    <row r="259" spans="1:11" x14ac:dyDescent="0.35">
      <c r="A259" s="3" t="s">
        <v>271</v>
      </c>
      <c r="B259" s="18">
        <v>45811</v>
      </c>
      <c r="C259" s="3" t="s">
        <v>23</v>
      </c>
      <c r="D259" s="3" t="s">
        <v>21</v>
      </c>
      <c r="E259" s="3">
        <v>30</v>
      </c>
      <c r="F259" s="3">
        <v>29557</v>
      </c>
      <c r="G259" s="3">
        <v>318.32</v>
      </c>
      <c r="H259" s="3">
        <v>7</v>
      </c>
      <c r="I259" s="3">
        <v>209.38</v>
      </c>
      <c r="J259" s="3">
        <v>1465.65</v>
      </c>
      <c r="K259" s="3">
        <v>3.1</v>
      </c>
    </row>
    <row r="260" spans="1:11" x14ac:dyDescent="0.35">
      <c r="A260" s="3" t="s">
        <v>272</v>
      </c>
      <c r="B260" s="18">
        <v>45812</v>
      </c>
      <c r="C260" s="3" t="s">
        <v>14</v>
      </c>
      <c r="D260" s="3" t="s">
        <v>10</v>
      </c>
      <c r="E260" s="3">
        <v>48</v>
      </c>
      <c r="F260" s="3">
        <v>28458</v>
      </c>
      <c r="G260" s="3">
        <v>153.5</v>
      </c>
      <c r="H260" s="3">
        <v>4</v>
      </c>
      <c r="I260" s="3">
        <v>249.85</v>
      </c>
      <c r="J260" s="3">
        <v>999.41</v>
      </c>
      <c r="K260" s="3">
        <v>3.6</v>
      </c>
    </row>
    <row r="261" spans="1:11" x14ac:dyDescent="0.35">
      <c r="A261" s="3" t="s">
        <v>273</v>
      </c>
      <c r="B261" s="18">
        <v>45812</v>
      </c>
      <c r="C261" s="3" t="s">
        <v>9</v>
      </c>
      <c r="D261" s="3" t="s">
        <v>21</v>
      </c>
      <c r="E261" s="3">
        <v>28</v>
      </c>
      <c r="F261" s="3">
        <v>29253</v>
      </c>
      <c r="G261" s="3">
        <v>104.26</v>
      </c>
      <c r="H261" s="3">
        <v>2</v>
      </c>
      <c r="I261" s="3">
        <v>393.9</v>
      </c>
      <c r="J261" s="3">
        <v>787.79</v>
      </c>
      <c r="K261" s="3">
        <v>1.5</v>
      </c>
    </row>
    <row r="262" spans="1:11" x14ac:dyDescent="0.35">
      <c r="A262" s="3" t="s">
        <v>274</v>
      </c>
      <c r="B262" s="18">
        <v>45813</v>
      </c>
      <c r="C262" s="3" t="s">
        <v>14</v>
      </c>
      <c r="D262" s="3" t="s">
        <v>18</v>
      </c>
      <c r="E262" s="3">
        <v>39</v>
      </c>
      <c r="F262" s="3">
        <v>44233</v>
      </c>
      <c r="G262" s="3">
        <v>84.63</v>
      </c>
      <c r="H262" s="3">
        <v>6</v>
      </c>
      <c r="I262" s="3">
        <v>129.9</v>
      </c>
      <c r="J262" s="3">
        <v>779.43</v>
      </c>
      <c r="K262" s="3">
        <v>1.9</v>
      </c>
    </row>
    <row r="263" spans="1:11" x14ac:dyDescent="0.35">
      <c r="A263" s="3" t="s">
        <v>275</v>
      </c>
      <c r="B263" s="18">
        <v>45813</v>
      </c>
      <c r="C263" s="3" t="s">
        <v>14</v>
      </c>
      <c r="D263" s="3" t="s">
        <v>16</v>
      </c>
      <c r="E263" s="3">
        <v>43</v>
      </c>
      <c r="F263" s="3">
        <v>29422</v>
      </c>
      <c r="G263" s="3">
        <v>363.33</v>
      </c>
      <c r="H263" s="3">
        <v>1</v>
      </c>
      <c r="I263" s="3">
        <v>1606.2</v>
      </c>
      <c r="J263" s="3">
        <v>1606.2</v>
      </c>
      <c r="K263" s="3">
        <v>3.6</v>
      </c>
    </row>
    <row r="264" spans="1:11" x14ac:dyDescent="0.35">
      <c r="A264" s="3" t="s">
        <v>276</v>
      </c>
      <c r="B264" s="18">
        <v>45814</v>
      </c>
      <c r="C264" s="3" t="s">
        <v>23</v>
      </c>
      <c r="D264" s="3" t="s">
        <v>18</v>
      </c>
      <c r="E264" s="3">
        <v>26</v>
      </c>
      <c r="F264" s="3">
        <v>41977</v>
      </c>
      <c r="G264" s="3">
        <v>202.94</v>
      </c>
      <c r="H264" s="3">
        <v>3</v>
      </c>
      <c r="I264" s="3">
        <v>368.57</v>
      </c>
      <c r="J264" s="3">
        <v>1105.7</v>
      </c>
      <c r="K264" s="3">
        <v>2.1</v>
      </c>
    </row>
    <row r="265" spans="1:11" x14ac:dyDescent="0.35">
      <c r="A265" s="3" t="s">
        <v>277</v>
      </c>
      <c r="B265" s="18">
        <v>45815</v>
      </c>
      <c r="C265" s="3" t="s">
        <v>14</v>
      </c>
      <c r="D265" s="3" t="s">
        <v>10</v>
      </c>
      <c r="E265" s="3">
        <v>34</v>
      </c>
      <c r="F265" s="3">
        <v>102508</v>
      </c>
      <c r="G265" s="3">
        <v>376.15</v>
      </c>
      <c r="H265" s="3">
        <v>2</v>
      </c>
      <c r="I265" s="3">
        <v>746.91</v>
      </c>
      <c r="J265" s="3">
        <v>1493.82</v>
      </c>
      <c r="K265" s="3">
        <v>2.6</v>
      </c>
    </row>
    <row r="266" spans="1:11" x14ac:dyDescent="0.35">
      <c r="A266" s="3" t="s">
        <v>278</v>
      </c>
      <c r="B266" s="18">
        <v>45815</v>
      </c>
      <c r="C266" s="3" t="s">
        <v>12</v>
      </c>
      <c r="D266" s="3" t="s">
        <v>18</v>
      </c>
      <c r="E266" s="3">
        <v>18</v>
      </c>
      <c r="F266" s="3">
        <v>56138</v>
      </c>
      <c r="G266" s="3">
        <v>79.41</v>
      </c>
      <c r="H266" s="3">
        <v>7</v>
      </c>
      <c r="I266" s="3">
        <v>111.06</v>
      </c>
      <c r="J266" s="3">
        <v>777.42</v>
      </c>
      <c r="K266" s="3">
        <v>2.2999999999999998</v>
      </c>
    </row>
    <row r="267" spans="1:11" x14ac:dyDescent="0.35">
      <c r="A267" s="3" t="s">
        <v>279</v>
      </c>
      <c r="B267" s="18">
        <v>45816</v>
      </c>
      <c r="C267" s="3" t="s">
        <v>12</v>
      </c>
      <c r="D267" s="3" t="s">
        <v>21</v>
      </c>
      <c r="E267" s="3">
        <v>25</v>
      </c>
      <c r="F267" s="3">
        <v>30853</v>
      </c>
      <c r="G267" s="3">
        <v>191.88</v>
      </c>
      <c r="H267" s="3">
        <v>6</v>
      </c>
      <c r="I267" s="3">
        <v>181.96</v>
      </c>
      <c r="J267" s="3">
        <v>1091.74</v>
      </c>
      <c r="K267" s="3">
        <v>3.4</v>
      </c>
    </row>
    <row r="268" spans="1:11" x14ac:dyDescent="0.35">
      <c r="A268" s="3" t="s">
        <v>280</v>
      </c>
      <c r="B268" s="18">
        <v>45816</v>
      </c>
      <c r="C268" s="3" t="s">
        <v>23</v>
      </c>
      <c r="D268" s="3" t="s">
        <v>16</v>
      </c>
      <c r="E268" s="3">
        <v>32</v>
      </c>
      <c r="F268" s="3">
        <v>66211</v>
      </c>
      <c r="G268" s="3">
        <v>292.77</v>
      </c>
      <c r="H268" s="3">
        <v>4</v>
      </c>
      <c r="I268" s="3">
        <v>366.68</v>
      </c>
      <c r="J268" s="3">
        <v>1466.7</v>
      </c>
      <c r="K268" s="3">
        <v>2.1</v>
      </c>
    </row>
    <row r="269" spans="1:11" x14ac:dyDescent="0.35">
      <c r="A269" s="3" t="s">
        <v>281</v>
      </c>
      <c r="B269" s="18">
        <v>45817</v>
      </c>
      <c r="C269" s="3" t="s">
        <v>23</v>
      </c>
      <c r="D269" s="3" t="s">
        <v>10</v>
      </c>
      <c r="E269" s="3">
        <v>23</v>
      </c>
      <c r="F269" s="3">
        <v>29613</v>
      </c>
      <c r="G269" s="3">
        <v>405.83</v>
      </c>
      <c r="H269" s="3">
        <v>6</v>
      </c>
      <c r="I269" s="3">
        <v>252.83</v>
      </c>
      <c r="J269" s="3">
        <v>1516.96</v>
      </c>
      <c r="K269" s="3">
        <v>3.4</v>
      </c>
    </row>
    <row r="270" spans="1:11" x14ac:dyDescent="0.35">
      <c r="A270" s="3" t="s">
        <v>282</v>
      </c>
      <c r="B270" s="18">
        <v>45818</v>
      </c>
      <c r="C270" s="3" t="s">
        <v>12</v>
      </c>
      <c r="D270" s="3" t="s">
        <v>10</v>
      </c>
      <c r="E270" s="3">
        <v>51</v>
      </c>
      <c r="F270" s="3">
        <v>15000</v>
      </c>
      <c r="G270" s="3">
        <v>193.44</v>
      </c>
      <c r="H270" s="3">
        <v>4</v>
      </c>
      <c r="I270" s="3">
        <v>309.02</v>
      </c>
      <c r="J270" s="3">
        <v>1236.08</v>
      </c>
      <c r="K270" s="3">
        <v>3.7</v>
      </c>
    </row>
    <row r="271" spans="1:11" x14ac:dyDescent="0.35">
      <c r="A271" s="3" t="s">
        <v>283</v>
      </c>
      <c r="B271" s="18">
        <v>45818</v>
      </c>
      <c r="C271" s="3" t="s">
        <v>12</v>
      </c>
      <c r="D271" s="3" t="s">
        <v>10</v>
      </c>
      <c r="E271" s="3">
        <v>21</v>
      </c>
      <c r="F271" s="3">
        <v>21938</v>
      </c>
      <c r="G271" s="3">
        <v>331.65</v>
      </c>
      <c r="H271" s="3">
        <v>2</v>
      </c>
      <c r="I271" s="3">
        <v>750.06</v>
      </c>
      <c r="J271" s="3">
        <v>1500.11</v>
      </c>
      <c r="K271" s="3">
        <v>3.2</v>
      </c>
    </row>
    <row r="272" spans="1:11" x14ac:dyDescent="0.35">
      <c r="A272" s="3" t="s">
        <v>284</v>
      </c>
      <c r="B272" s="18">
        <v>45819</v>
      </c>
      <c r="C272" s="3" t="s">
        <v>12</v>
      </c>
      <c r="D272" s="3" t="s">
        <v>18</v>
      </c>
      <c r="E272" s="3">
        <v>31</v>
      </c>
      <c r="F272" s="3">
        <v>15000</v>
      </c>
      <c r="G272" s="3">
        <v>448.69</v>
      </c>
      <c r="H272" s="3">
        <v>4</v>
      </c>
      <c r="I272" s="3">
        <v>493.62</v>
      </c>
      <c r="J272" s="3">
        <v>1974.46</v>
      </c>
      <c r="K272" s="3">
        <v>3.5</v>
      </c>
    </row>
    <row r="273" spans="1:11" x14ac:dyDescent="0.35">
      <c r="A273" s="3" t="s">
        <v>285</v>
      </c>
      <c r="B273" s="18">
        <v>45819</v>
      </c>
      <c r="C273" s="3" t="s">
        <v>9</v>
      </c>
      <c r="D273" s="3" t="s">
        <v>21</v>
      </c>
      <c r="E273" s="3">
        <v>36</v>
      </c>
      <c r="F273" s="3">
        <v>30462</v>
      </c>
      <c r="G273" s="3">
        <v>327.14</v>
      </c>
      <c r="H273" s="3">
        <v>5</v>
      </c>
      <c r="I273" s="3">
        <v>282.73</v>
      </c>
      <c r="J273" s="3">
        <v>1413.66</v>
      </c>
      <c r="K273" s="3">
        <v>3.5</v>
      </c>
    </row>
    <row r="274" spans="1:11" x14ac:dyDescent="0.35">
      <c r="A274" s="3" t="s">
        <v>286</v>
      </c>
      <c r="B274" s="18">
        <v>45820</v>
      </c>
      <c r="C274" s="3" t="s">
        <v>23</v>
      </c>
      <c r="D274" s="3" t="s">
        <v>18</v>
      </c>
      <c r="E274" s="3">
        <v>49</v>
      </c>
      <c r="F274" s="3">
        <v>36651</v>
      </c>
      <c r="G274" s="3">
        <v>154.83000000000001</v>
      </c>
      <c r="H274" s="3">
        <v>5</v>
      </c>
      <c r="I274" s="3">
        <v>198.9</v>
      </c>
      <c r="J274" s="3">
        <v>994.48</v>
      </c>
      <c r="K274" s="3">
        <v>2.7</v>
      </c>
    </row>
    <row r="275" spans="1:11" x14ac:dyDescent="0.35">
      <c r="A275" s="3" t="s">
        <v>287</v>
      </c>
      <c r="B275" s="18">
        <v>45821</v>
      </c>
      <c r="C275" s="3" t="s">
        <v>23</v>
      </c>
      <c r="D275" s="3" t="s">
        <v>21</v>
      </c>
      <c r="E275" s="3">
        <v>21</v>
      </c>
      <c r="F275" s="3">
        <v>83970</v>
      </c>
      <c r="G275" s="3">
        <v>60.98</v>
      </c>
      <c r="H275" s="3">
        <v>5</v>
      </c>
      <c r="I275" s="3">
        <v>112.17</v>
      </c>
      <c r="J275" s="3">
        <v>560.86</v>
      </c>
      <c r="K275" s="3">
        <v>3.3</v>
      </c>
    </row>
    <row r="276" spans="1:11" x14ac:dyDescent="0.35">
      <c r="A276" s="3" t="s">
        <v>288</v>
      </c>
      <c r="B276" s="18">
        <v>45821</v>
      </c>
      <c r="C276" s="3" t="s">
        <v>12</v>
      </c>
      <c r="D276" s="3" t="s">
        <v>18</v>
      </c>
      <c r="E276" s="3">
        <v>47</v>
      </c>
      <c r="F276" s="3">
        <v>42765</v>
      </c>
      <c r="G276" s="3">
        <v>441.54</v>
      </c>
      <c r="H276" s="3">
        <v>7</v>
      </c>
      <c r="I276" s="3">
        <v>259</v>
      </c>
      <c r="J276" s="3">
        <v>1813.03</v>
      </c>
      <c r="K276" s="3">
        <v>2.9</v>
      </c>
    </row>
    <row r="277" spans="1:11" x14ac:dyDescent="0.35">
      <c r="A277" s="3" t="s">
        <v>289</v>
      </c>
      <c r="B277" s="18">
        <v>45822</v>
      </c>
      <c r="C277" s="3" t="s">
        <v>14</v>
      </c>
      <c r="D277" s="3" t="s">
        <v>18</v>
      </c>
      <c r="E277" s="3">
        <v>35</v>
      </c>
      <c r="F277" s="3">
        <v>32547</v>
      </c>
      <c r="G277" s="3">
        <v>59.57</v>
      </c>
      <c r="H277" s="3">
        <v>7</v>
      </c>
      <c r="I277" s="3">
        <v>113.39</v>
      </c>
      <c r="J277" s="3">
        <v>793.75</v>
      </c>
      <c r="K277" s="3">
        <v>2.6</v>
      </c>
    </row>
    <row r="278" spans="1:11" x14ac:dyDescent="0.35">
      <c r="A278" s="3" t="s">
        <v>290</v>
      </c>
      <c r="B278" s="18">
        <v>45822</v>
      </c>
      <c r="C278" s="3" t="s">
        <v>12</v>
      </c>
      <c r="D278" s="3" t="s">
        <v>18</v>
      </c>
      <c r="E278" s="3">
        <v>25</v>
      </c>
      <c r="F278" s="3">
        <v>54979</v>
      </c>
      <c r="G278" s="3">
        <v>443.62</v>
      </c>
      <c r="H278" s="3">
        <v>1</v>
      </c>
      <c r="I278" s="3">
        <v>1854.33</v>
      </c>
      <c r="J278" s="3">
        <v>1854.33</v>
      </c>
      <c r="K278" s="3">
        <v>3.7</v>
      </c>
    </row>
    <row r="279" spans="1:11" x14ac:dyDescent="0.35">
      <c r="A279" s="3" t="s">
        <v>291</v>
      </c>
      <c r="B279" s="18">
        <v>45823</v>
      </c>
      <c r="C279" s="3" t="s">
        <v>12</v>
      </c>
      <c r="D279" s="3" t="s">
        <v>10</v>
      </c>
      <c r="E279" s="3">
        <v>40</v>
      </c>
      <c r="F279" s="3">
        <v>15000</v>
      </c>
      <c r="G279" s="3">
        <v>288.02</v>
      </c>
      <c r="H279" s="3">
        <v>7</v>
      </c>
      <c r="I279" s="3">
        <v>198.44</v>
      </c>
      <c r="J279" s="3">
        <v>1389.06</v>
      </c>
      <c r="K279" s="3">
        <v>3</v>
      </c>
    </row>
    <row r="280" spans="1:11" x14ac:dyDescent="0.35">
      <c r="A280" s="3" t="s">
        <v>292</v>
      </c>
      <c r="B280" s="18">
        <v>45824</v>
      </c>
      <c r="C280" s="3" t="s">
        <v>23</v>
      </c>
      <c r="D280" s="3" t="s">
        <v>10</v>
      </c>
      <c r="E280" s="3">
        <v>37</v>
      </c>
      <c r="F280" s="3">
        <v>40856</v>
      </c>
      <c r="G280" s="3">
        <v>472.58</v>
      </c>
      <c r="H280" s="3">
        <v>2</v>
      </c>
      <c r="I280" s="3">
        <v>1015.93</v>
      </c>
      <c r="J280" s="3">
        <v>2031.86</v>
      </c>
      <c r="K280" s="3">
        <v>2.1</v>
      </c>
    </row>
    <row r="281" spans="1:11" x14ac:dyDescent="0.35">
      <c r="A281" s="3" t="s">
        <v>293</v>
      </c>
      <c r="B281" s="18">
        <v>45824</v>
      </c>
      <c r="C281" s="3" t="s">
        <v>12</v>
      </c>
      <c r="D281" s="3" t="s">
        <v>21</v>
      </c>
      <c r="E281" s="3">
        <v>29</v>
      </c>
      <c r="F281" s="3">
        <v>53393</v>
      </c>
      <c r="G281" s="3">
        <v>409.45</v>
      </c>
      <c r="H281" s="3">
        <v>6</v>
      </c>
      <c r="I281" s="3">
        <v>299.98</v>
      </c>
      <c r="J281" s="3">
        <v>1799.89</v>
      </c>
      <c r="K281" s="3">
        <v>3.5</v>
      </c>
    </row>
    <row r="282" spans="1:11" x14ac:dyDescent="0.35">
      <c r="A282" s="3" t="s">
        <v>294</v>
      </c>
      <c r="B282" s="18">
        <v>45825</v>
      </c>
      <c r="C282" s="3" t="s">
        <v>12</v>
      </c>
      <c r="D282" s="3" t="s">
        <v>18</v>
      </c>
      <c r="E282" s="3">
        <v>36</v>
      </c>
      <c r="F282" s="3">
        <v>17339</v>
      </c>
      <c r="G282" s="3">
        <v>499.07</v>
      </c>
      <c r="H282" s="3">
        <v>6</v>
      </c>
      <c r="I282" s="3">
        <v>343.18</v>
      </c>
      <c r="J282" s="3">
        <v>2059.06</v>
      </c>
      <c r="K282" s="3">
        <v>4.3</v>
      </c>
    </row>
    <row r="283" spans="1:11" x14ac:dyDescent="0.35">
      <c r="A283" s="3" t="s">
        <v>295</v>
      </c>
      <c r="B283" s="18">
        <v>45825</v>
      </c>
      <c r="C283" s="3" t="s">
        <v>12</v>
      </c>
      <c r="D283" s="3" t="s">
        <v>21</v>
      </c>
      <c r="E283" s="3">
        <v>31</v>
      </c>
      <c r="F283" s="3">
        <v>64336</v>
      </c>
      <c r="G283" s="3">
        <v>207.82</v>
      </c>
      <c r="H283" s="3">
        <v>1</v>
      </c>
      <c r="I283" s="3">
        <v>1144.22</v>
      </c>
      <c r="J283" s="3">
        <v>1144.22</v>
      </c>
      <c r="K283" s="3">
        <v>3.4</v>
      </c>
    </row>
    <row r="284" spans="1:11" x14ac:dyDescent="0.35">
      <c r="A284" s="3" t="s">
        <v>296</v>
      </c>
      <c r="B284" s="18">
        <v>45826</v>
      </c>
      <c r="C284" s="3" t="s">
        <v>12</v>
      </c>
      <c r="D284" s="3" t="s">
        <v>10</v>
      </c>
      <c r="E284" s="3">
        <v>36</v>
      </c>
      <c r="F284" s="3">
        <v>43013</v>
      </c>
      <c r="G284" s="3">
        <v>395.23</v>
      </c>
      <c r="H284" s="3">
        <v>7</v>
      </c>
      <c r="I284" s="3">
        <v>272.43</v>
      </c>
      <c r="J284" s="3">
        <v>1907.01</v>
      </c>
      <c r="K284" s="3">
        <v>3.9</v>
      </c>
    </row>
    <row r="285" spans="1:11" x14ac:dyDescent="0.35">
      <c r="A285" s="3" t="s">
        <v>297</v>
      </c>
      <c r="B285" s="18">
        <v>45827</v>
      </c>
      <c r="C285" s="3" t="s">
        <v>12</v>
      </c>
      <c r="D285" s="3" t="s">
        <v>21</v>
      </c>
      <c r="E285" s="3">
        <v>42</v>
      </c>
      <c r="F285" s="3">
        <v>29506</v>
      </c>
      <c r="G285" s="3">
        <v>230.87</v>
      </c>
      <c r="H285" s="3">
        <v>4</v>
      </c>
      <c r="I285" s="3">
        <v>296.04000000000002</v>
      </c>
      <c r="J285" s="3">
        <v>1184.17</v>
      </c>
      <c r="K285" s="3">
        <v>2.2999999999999998</v>
      </c>
    </row>
    <row r="286" spans="1:11" x14ac:dyDescent="0.35">
      <c r="A286" s="3" t="s">
        <v>298</v>
      </c>
      <c r="B286" s="18">
        <v>45827</v>
      </c>
      <c r="C286" s="3" t="s">
        <v>23</v>
      </c>
      <c r="D286" s="3" t="s">
        <v>21</v>
      </c>
      <c r="E286" s="3">
        <v>51</v>
      </c>
      <c r="F286" s="3">
        <v>49831</v>
      </c>
      <c r="G286" s="3">
        <v>265.94</v>
      </c>
      <c r="H286" s="3">
        <v>1</v>
      </c>
      <c r="I286" s="3">
        <v>1317.1</v>
      </c>
      <c r="J286" s="3">
        <v>1317.1</v>
      </c>
      <c r="K286" s="3">
        <v>3.4</v>
      </c>
    </row>
    <row r="287" spans="1:11" x14ac:dyDescent="0.35">
      <c r="A287" s="3" t="s">
        <v>299</v>
      </c>
      <c r="B287" s="18">
        <v>45828</v>
      </c>
      <c r="C287" s="3" t="s">
        <v>9</v>
      </c>
      <c r="D287" s="3" t="s">
        <v>18</v>
      </c>
      <c r="E287" s="3">
        <v>23</v>
      </c>
      <c r="F287" s="3">
        <v>113023</v>
      </c>
      <c r="G287" s="3">
        <v>332.38</v>
      </c>
      <c r="H287" s="3">
        <v>4</v>
      </c>
      <c r="I287" s="3">
        <v>399.42</v>
      </c>
      <c r="J287" s="3">
        <v>1597.67</v>
      </c>
      <c r="K287" s="3">
        <v>3</v>
      </c>
    </row>
    <row r="288" spans="1:11" x14ac:dyDescent="0.35">
      <c r="A288" s="3" t="s">
        <v>300</v>
      </c>
      <c r="B288" s="18">
        <v>45828</v>
      </c>
      <c r="C288" s="3" t="s">
        <v>14</v>
      </c>
      <c r="D288" s="3" t="s">
        <v>21</v>
      </c>
      <c r="E288" s="3">
        <v>56</v>
      </c>
      <c r="F288" s="3">
        <v>39773</v>
      </c>
      <c r="G288" s="3">
        <v>443.15</v>
      </c>
      <c r="H288" s="3">
        <v>4</v>
      </c>
      <c r="I288" s="3">
        <v>489.13</v>
      </c>
      <c r="J288" s="3">
        <v>1956.52</v>
      </c>
      <c r="K288" s="3">
        <v>3.9</v>
      </c>
    </row>
    <row r="289" spans="1:11" x14ac:dyDescent="0.35">
      <c r="A289" s="3" t="s">
        <v>301</v>
      </c>
      <c r="B289" s="18">
        <v>45829</v>
      </c>
      <c r="C289" s="3" t="s">
        <v>23</v>
      </c>
      <c r="D289" s="3" t="s">
        <v>18</v>
      </c>
      <c r="E289" s="3">
        <v>18</v>
      </c>
      <c r="F289" s="3">
        <v>41114</v>
      </c>
      <c r="G289" s="3">
        <v>492.84</v>
      </c>
      <c r="H289" s="3">
        <v>3</v>
      </c>
      <c r="I289" s="3">
        <v>707.35</v>
      </c>
      <c r="J289" s="3">
        <v>2122.0500000000002</v>
      </c>
      <c r="K289" s="3">
        <v>3.9</v>
      </c>
    </row>
    <row r="290" spans="1:11" x14ac:dyDescent="0.35">
      <c r="A290" s="3" t="s">
        <v>302</v>
      </c>
      <c r="B290" s="18">
        <v>45830</v>
      </c>
      <c r="C290" s="3" t="s">
        <v>12</v>
      </c>
      <c r="D290" s="3" t="s">
        <v>21</v>
      </c>
      <c r="E290" s="3">
        <v>33</v>
      </c>
      <c r="F290" s="3">
        <v>28863</v>
      </c>
      <c r="G290" s="3">
        <v>395.72</v>
      </c>
      <c r="H290" s="3">
        <v>6</v>
      </c>
      <c r="I290" s="3">
        <v>294.57</v>
      </c>
      <c r="J290" s="3">
        <v>1767.4</v>
      </c>
      <c r="K290" s="3">
        <v>3</v>
      </c>
    </row>
    <row r="291" spans="1:11" x14ac:dyDescent="0.35">
      <c r="A291" s="3" t="s">
        <v>303</v>
      </c>
      <c r="B291" s="18">
        <v>45830</v>
      </c>
      <c r="C291" s="3" t="s">
        <v>9</v>
      </c>
      <c r="D291" s="3" t="s">
        <v>21</v>
      </c>
      <c r="E291" s="3">
        <v>41</v>
      </c>
      <c r="F291" s="3">
        <v>23744</v>
      </c>
      <c r="G291" s="3">
        <v>238</v>
      </c>
      <c r="H291" s="3">
        <v>5</v>
      </c>
      <c r="I291" s="3">
        <v>224.03</v>
      </c>
      <c r="J291" s="3">
        <v>1120.1600000000001</v>
      </c>
      <c r="K291" s="3">
        <v>2.4</v>
      </c>
    </row>
    <row r="292" spans="1:11" x14ac:dyDescent="0.35">
      <c r="A292" s="3" t="s">
        <v>304</v>
      </c>
      <c r="B292" s="18">
        <v>45831</v>
      </c>
      <c r="C292" s="3" t="s">
        <v>23</v>
      </c>
      <c r="D292" s="3" t="s">
        <v>10</v>
      </c>
      <c r="E292" s="3">
        <v>38</v>
      </c>
      <c r="F292" s="3">
        <v>55004</v>
      </c>
      <c r="G292" s="3">
        <v>239.61</v>
      </c>
      <c r="H292" s="3">
        <v>7</v>
      </c>
      <c r="I292" s="3">
        <v>192.49</v>
      </c>
      <c r="J292" s="3">
        <v>1347.43</v>
      </c>
      <c r="K292" s="3">
        <v>3.4</v>
      </c>
    </row>
    <row r="293" spans="1:11" x14ac:dyDescent="0.35">
      <c r="A293" s="3" t="s">
        <v>305</v>
      </c>
      <c r="B293" s="18">
        <v>45831</v>
      </c>
      <c r="C293" s="3" t="s">
        <v>12</v>
      </c>
      <c r="D293" s="3" t="s">
        <v>21</v>
      </c>
      <c r="E293" s="3">
        <v>29</v>
      </c>
      <c r="F293" s="3">
        <v>23670</v>
      </c>
      <c r="G293" s="3">
        <v>381.91</v>
      </c>
      <c r="H293" s="3">
        <v>4</v>
      </c>
      <c r="I293" s="3">
        <v>395.1</v>
      </c>
      <c r="J293" s="3">
        <v>1580.4</v>
      </c>
      <c r="K293" s="3">
        <v>3.2</v>
      </c>
    </row>
    <row r="294" spans="1:11" x14ac:dyDescent="0.35">
      <c r="A294" s="3" t="s">
        <v>306</v>
      </c>
      <c r="B294" s="18">
        <v>45832</v>
      </c>
      <c r="C294" s="3" t="s">
        <v>14</v>
      </c>
      <c r="D294" s="3" t="s">
        <v>21</v>
      </c>
      <c r="E294" s="3">
        <v>33</v>
      </c>
      <c r="F294" s="3">
        <v>37639</v>
      </c>
      <c r="G294" s="3">
        <v>157.44999999999999</v>
      </c>
      <c r="H294" s="3">
        <v>3</v>
      </c>
      <c r="I294" s="3">
        <v>326.02</v>
      </c>
      <c r="J294" s="3">
        <v>978.05</v>
      </c>
      <c r="K294" s="3">
        <v>2.2999999999999998</v>
      </c>
    </row>
    <row r="295" spans="1:11" x14ac:dyDescent="0.35">
      <c r="A295" s="3" t="s">
        <v>307</v>
      </c>
      <c r="B295" s="18">
        <v>45833</v>
      </c>
      <c r="C295" s="3" t="s">
        <v>12</v>
      </c>
      <c r="D295" s="3" t="s">
        <v>18</v>
      </c>
      <c r="E295" s="3">
        <v>30</v>
      </c>
      <c r="F295" s="3">
        <v>28600</v>
      </c>
      <c r="G295" s="3">
        <v>99.71</v>
      </c>
      <c r="H295" s="3">
        <v>6</v>
      </c>
      <c r="I295" s="3">
        <v>118.12</v>
      </c>
      <c r="J295" s="3">
        <v>708.73</v>
      </c>
      <c r="K295" s="3">
        <v>2</v>
      </c>
    </row>
    <row r="296" spans="1:11" x14ac:dyDescent="0.35">
      <c r="A296" s="3" t="s">
        <v>308</v>
      </c>
      <c r="B296" s="18">
        <v>45833</v>
      </c>
      <c r="C296" s="3" t="s">
        <v>23</v>
      </c>
      <c r="D296" s="3" t="s">
        <v>21</v>
      </c>
      <c r="E296" s="3">
        <v>29</v>
      </c>
      <c r="F296" s="3">
        <v>46143</v>
      </c>
      <c r="G296" s="3">
        <v>209.58</v>
      </c>
      <c r="H296" s="3">
        <v>5</v>
      </c>
      <c r="I296" s="3">
        <v>223.1</v>
      </c>
      <c r="J296" s="3">
        <v>1115.52</v>
      </c>
      <c r="K296" s="3">
        <v>2.8</v>
      </c>
    </row>
    <row r="297" spans="1:11" x14ac:dyDescent="0.35">
      <c r="A297" s="3" t="s">
        <v>309</v>
      </c>
      <c r="B297" s="18">
        <v>45834</v>
      </c>
      <c r="C297" s="3" t="s">
        <v>23</v>
      </c>
      <c r="D297" s="3" t="s">
        <v>18</v>
      </c>
      <c r="E297" s="3">
        <v>43</v>
      </c>
      <c r="F297" s="3">
        <v>42909</v>
      </c>
      <c r="G297" s="3">
        <v>179.26</v>
      </c>
      <c r="H297" s="3">
        <v>4</v>
      </c>
      <c r="I297" s="3">
        <v>262.48</v>
      </c>
      <c r="J297" s="3">
        <v>1049.93</v>
      </c>
      <c r="K297" s="3">
        <v>3.8</v>
      </c>
    </row>
    <row r="298" spans="1:11" x14ac:dyDescent="0.35">
      <c r="A298" s="3" t="s">
        <v>310</v>
      </c>
      <c r="B298" s="18">
        <v>45834</v>
      </c>
      <c r="C298" s="3" t="s">
        <v>9</v>
      </c>
      <c r="D298" s="3" t="s">
        <v>21</v>
      </c>
      <c r="E298" s="3">
        <v>39</v>
      </c>
      <c r="F298" s="3">
        <v>61009</v>
      </c>
      <c r="G298" s="3">
        <v>183.34</v>
      </c>
      <c r="H298" s="3">
        <v>4</v>
      </c>
      <c r="I298" s="3">
        <v>265.60000000000002</v>
      </c>
      <c r="J298" s="3">
        <v>1062.4000000000001</v>
      </c>
      <c r="K298" s="3">
        <v>2.6</v>
      </c>
    </row>
    <row r="299" spans="1:11" x14ac:dyDescent="0.35">
      <c r="A299" s="3" t="s">
        <v>311</v>
      </c>
      <c r="B299" s="18">
        <v>45835</v>
      </c>
      <c r="C299" s="3" t="s">
        <v>23</v>
      </c>
      <c r="D299" s="3" t="s">
        <v>21</v>
      </c>
      <c r="E299" s="3">
        <v>28</v>
      </c>
      <c r="F299" s="3">
        <v>28141</v>
      </c>
      <c r="G299" s="3">
        <v>155.12</v>
      </c>
      <c r="H299" s="3">
        <v>1</v>
      </c>
      <c r="I299" s="3">
        <v>980.14</v>
      </c>
      <c r="J299" s="3">
        <v>980.14</v>
      </c>
      <c r="K299" s="3">
        <v>2.8</v>
      </c>
    </row>
    <row r="300" spans="1:11" x14ac:dyDescent="0.35">
      <c r="A300" s="3" t="s">
        <v>312</v>
      </c>
      <c r="B300" s="18">
        <v>45836</v>
      </c>
      <c r="C300" s="3" t="s">
        <v>14</v>
      </c>
      <c r="D300" s="3" t="s">
        <v>18</v>
      </c>
      <c r="E300" s="3">
        <v>44</v>
      </c>
      <c r="F300" s="3">
        <v>31731</v>
      </c>
      <c r="G300" s="3">
        <v>68.94</v>
      </c>
      <c r="H300" s="3">
        <v>1</v>
      </c>
      <c r="I300" s="3">
        <v>799.7</v>
      </c>
      <c r="J300" s="3">
        <v>799.7</v>
      </c>
      <c r="K300" s="3">
        <v>2.7</v>
      </c>
    </row>
    <row r="301" spans="1:11" x14ac:dyDescent="0.35">
      <c r="A301" s="3" t="s">
        <v>313</v>
      </c>
      <c r="B301" s="18">
        <v>45836</v>
      </c>
      <c r="C301" s="3" t="s">
        <v>9</v>
      </c>
      <c r="D301" s="3" t="s">
        <v>21</v>
      </c>
      <c r="E301" s="3">
        <v>38</v>
      </c>
      <c r="F301" s="3">
        <v>22262</v>
      </c>
      <c r="G301" s="3">
        <v>58.04</v>
      </c>
      <c r="H301" s="3">
        <v>6</v>
      </c>
      <c r="I301" s="3">
        <v>112</v>
      </c>
      <c r="J301" s="3">
        <v>672.01</v>
      </c>
      <c r="K301" s="3">
        <v>1.9</v>
      </c>
    </row>
    <row r="302" spans="1:11" x14ac:dyDescent="0.35">
      <c r="A302" s="3" t="s">
        <v>314</v>
      </c>
      <c r="B302" s="18">
        <v>45837</v>
      </c>
      <c r="C302" s="3" t="s">
        <v>12</v>
      </c>
      <c r="D302" s="3" t="s">
        <v>21</v>
      </c>
      <c r="E302" s="3">
        <v>43</v>
      </c>
      <c r="F302" s="3">
        <v>29081</v>
      </c>
      <c r="G302" s="3">
        <v>494.48</v>
      </c>
      <c r="H302" s="3">
        <v>5</v>
      </c>
      <c r="I302" s="3">
        <v>402.56</v>
      </c>
      <c r="J302" s="3">
        <v>2012.8</v>
      </c>
      <c r="K302" s="3">
        <v>2.7</v>
      </c>
    </row>
    <row r="303" spans="1:11" x14ac:dyDescent="0.35">
      <c r="A303" s="3" t="s">
        <v>315</v>
      </c>
      <c r="B303" s="18">
        <v>45838</v>
      </c>
      <c r="C303" s="3" t="s">
        <v>12</v>
      </c>
      <c r="D303" s="3" t="s">
        <v>10</v>
      </c>
      <c r="E303" s="3">
        <v>41</v>
      </c>
      <c r="F303" s="3">
        <v>43855</v>
      </c>
      <c r="G303" s="3">
        <v>242.5</v>
      </c>
      <c r="H303" s="3">
        <v>4</v>
      </c>
      <c r="I303" s="3">
        <v>325.77999999999997</v>
      </c>
      <c r="J303" s="3">
        <v>1303.1300000000001</v>
      </c>
      <c r="K303" s="3">
        <v>2.5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5AC9-252F-466F-991F-4F7781A60E8F}">
  <dimension ref="A1:J10"/>
  <sheetViews>
    <sheetView workbookViewId="0">
      <selection activeCell="G13" sqref="G13"/>
    </sheetView>
  </sheetViews>
  <sheetFormatPr defaultRowHeight="14.5" x14ac:dyDescent="0.35"/>
  <sheetData>
    <row r="1" spans="1:10" ht="18" x14ac:dyDescent="0.4">
      <c r="A1" s="12" t="s">
        <v>336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1" t="s">
        <v>326</v>
      </c>
      <c r="B3" s="1" t="s">
        <v>327</v>
      </c>
      <c r="C3" s="1" t="s">
        <v>328</v>
      </c>
      <c r="D3" s="1" t="s">
        <v>329</v>
      </c>
      <c r="E3" s="1" t="s">
        <v>330</v>
      </c>
      <c r="F3" s="1" t="s">
        <v>331</v>
      </c>
      <c r="G3" s="1" t="s">
        <v>332</v>
      </c>
      <c r="H3" s="1" t="s">
        <v>333</v>
      </c>
      <c r="I3" s="1" t="s">
        <v>334</v>
      </c>
      <c r="J3" s="1" t="s">
        <v>335</v>
      </c>
    </row>
    <row r="4" spans="1:10" x14ac:dyDescent="0.35">
      <c r="A4" s="7" t="s">
        <v>1</v>
      </c>
      <c r="B4" s="7">
        <v>300</v>
      </c>
      <c r="C4" s="7">
        <v>35.409999999999997</v>
      </c>
      <c r="D4" s="7">
        <v>36</v>
      </c>
      <c r="E4" s="7">
        <v>10.93</v>
      </c>
      <c r="F4" s="7">
        <v>18</v>
      </c>
      <c r="G4" s="7">
        <v>28</v>
      </c>
      <c r="H4" s="7">
        <v>41</v>
      </c>
      <c r="I4" s="7">
        <v>129</v>
      </c>
      <c r="J4" s="7">
        <v>2.27</v>
      </c>
    </row>
    <row r="5" spans="1:10" x14ac:dyDescent="0.35">
      <c r="A5" s="7" t="s">
        <v>2</v>
      </c>
      <c r="B5" s="7">
        <v>300</v>
      </c>
      <c r="C5" s="7">
        <v>49798.37</v>
      </c>
      <c r="D5" s="7">
        <v>35976.5</v>
      </c>
      <c r="E5" s="7">
        <v>163569.85</v>
      </c>
      <c r="F5" s="7">
        <v>15000</v>
      </c>
      <c r="G5" s="7">
        <v>25535.25</v>
      </c>
      <c r="H5" s="7">
        <v>49422.75</v>
      </c>
      <c r="I5" s="7">
        <v>2850000</v>
      </c>
      <c r="J5" s="7">
        <v>16.89</v>
      </c>
    </row>
    <row r="6" spans="1:10" x14ac:dyDescent="0.35">
      <c r="A6" s="7" t="s">
        <v>3</v>
      </c>
      <c r="B6" s="7">
        <v>300</v>
      </c>
      <c r="C6" s="7">
        <v>271.39</v>
      </c>
      <c r="D6" s="7">
        <v>271.61</v>
      </c>
      <c r="E6" s="7">
        <v>132.26</v>
      </c>
      <c r="F6" s="7">
        <v>52.08</v>
      </c>
      <c r="G6" s="7">
        <v>155.05000000000001</v>
      </c>
      <c r="H6" s="7">
        <v>380.1</v>
      </c>
      <c r="I6" s="7">
        <v>499.07</v>
      </c>
      <c r="J6" s="7">
        <v>0.03</v>
      </c>
    </row>
    <row r="7" spans="1:10" x14ac:dyDescent="0.35">
      <c r="A7" s="7" t="s">
        <v>4</v>
      </c>
      <c r="B7" s="7">
        <v>300</v>
      </c>
      <c r="C7" s="7">
        <v>4.25</v>
      </c>
      <c r="D7" s="7">
        <v>4</v>
      </c>
      <c r="E7" s="7">
        <v>3.37</v>
      </c>
      <c r="F7" s="7">
        <v>1</v>
      </c>
      <c r="G7" s="7">
        <v>2</v>
      </c>
      <c r="H7" s="7">
        <v>6</v>
      </c>
      <c r="I7" s="7">
        <v>40</v>
      </c>
      <c r="J7" s="7">
        <v>6.51</v>
      </c>
    </row>
    <row r="8" spans="1:10" x14ac:dyDescent="0.35">
      <c r="A8" s="7" t="s">
        <v>5</v>
      </c>
      <c r="B8" s="7">
        <v>300</v>
      </c>
      <c r="C8" s="7">
        <v>433.98</v>
      </c>
      <c r="D8" s="7">
        <v>291.76</v>
      </c>
      <c r="E8" s="7">
        <v>394.65</v>
      </c>
      <c r="F8" s="7">
        <v>52.81</v>
      </c>
      <c r="G8" s="7">
        <v>185.8</v>
      </c>
      <c r="H8" s="7">
        <v>494.28</v>
      </c>
      <c r="I8" s="7">
        <v>1915.6</v>
      </c>
      <c r="J8" s="7">
        <v>1.96</v>
      </c>
    </row>
    <row r="9" spans="1:10" x14ac:dyDescent="0.35">
      <c r="A9" s="7" t="s">
        <v>6</v>
      </c>
      <c r="B9" s="7">
        <v>300</v>
      </c>
      <c r="C9" s="7">
        <v>1196.6199999999999</v>
      </c>
      <c r="D9" s="7">
        <v>1164.26</v>
      </c>
      <c r="E9" s="7">
        <v>517.59</v>
      </c>
      <c r="F9" s="7">
        <v>-450</v>
      </c>
      <c r="G9" s="7">
        <v>817.03</v>
      </c>
      <c r="H9" s="7">
        <v>1526.92</v>
      </c>
      <c r="I9" s="7">
        <v>4800</v>
      </c>
      <c r="J9" s="7">
        <v>1.53</v>
      </c>
    </row>
    <row r="10" spans="1:10" x14ac:dyDescent="0.35">
      <c r="A10" s="7" t="s">
        <v>7</v>
      </c>
      <c r="B10" s="7">
        <v>300</v>
      </c>
      <c r="C10" s="7">
        <v>2.96</v>
      </c>
      <c r="D10" s="7">
        <v>3</v>
      </c>
      <c r="E10" s="7">
        <v>0.73</v>
      </c>
      <c r="F10" s="7">
        <v>1</v>
      </c>
      <c r="G10" s="7">
        <v>2.4</v>
      </c>
      <c r="H10" s="7">
        <v>3.5</v>
      </c>
      <c r="I10" s="7">
        <v>4.8</v>
      </c>
      <c r="J10" s="7">
        <v>-0.17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B934-97DA-4A62-B39F-FA2D80255E11}">
  <dimension ref="A1:H309"/>
  <sheetViews>
    <sheetView workbookViewId="0">
      <selection activeCell="F296" sqref="F296"/>
    </sheetView>
  </sheetViews>
  <sheetFormatPr defaultRowHeight="14.5" x14ac:dyDescent="0.35"/>
  <cols>
    <col min="1" max="1" width="15.453125" style="5" bestFit="1" customWidth="1"/>
    <col min="2" max="2" width="23.08984375" style="5" customWidth="1"/>
    <col min="3" max="3" width="25.1796875" style="5" customWidth="1"/>
    <col min="4" max="4" width="18" style="5" customWidth="1"/>
    <col min="5" max="5" width="14.453125" style="5" customWidth="1"/>
    <col min="6" max="6" width="15.453125" style="5" customWidth="1"/>
    <col min="7" max="7" width="8.7265625" style="5"/>
    <col min="8" max="8" width="37" style="5" customWidth="1"/>
    <col min="9" max="16384" width="8.7265625" style="5"/>
  </cols>
  <sheetData>
    <row r="1" spans="1:8" ht="18" x14ac:dyDescent="0.4">
      <c r="A1" s="10" t="s">
        <v>340</v>
      </c>
      <c r="B1" s="10"/>
      <c r="C1" s="10"/>
      <c r="D1" s="10"/>
      <c r="E1" s="10"/>
      <c r="F1" s="10"/>
      <c r="G1" s="10"/>
      <c r="H1" s="10"/>
    </row>
    <row r="3" spans="1:8" x14ac:dyDescent="0.35">
      <c r="A3" s="1" t="s">
        <v>341</v>
      </c>
      <c r="B3" s="1" t="s">
        <v>332</v>
      </c>
      <c r="C3" s="1" t="s">
        <v>333</v>
      </c>
      <c r="D3" s="1" t="s">
        <v>337</v>
      </c>
      <c r="E3" s="1" t="s">
        <v>342</v>
      </c>
      <c r="F3" s="1" t="s">
        <v>343</v>
      </c>
    </row>
    <row r="4" spans="1:8" x14ac:dyDescent="0.35">
      <c r="A4" s="7" t="s">
        <v>1</v>
      </c>
      <c r="B4" s="7">
        <v>28</v>
      </c>
      <c r="C4" s="7">
        <v>41</v>
      </c>
      <c r="D4" s="7">
        <f>C4-B4</f>
        <v>13</v>
      </c>
      <c r="E4" s="7">
        <f>B4-1.5*D4</f>
        <v>8.5</v>
      </c>
      <c r="F4" s="7">
        <f>C4+1.5*D4</f>
        <v>60.5</v>
      </c>
    </row>
    <row r="5" spans="1:8" x14ac:dyDescent="0.35">
      <c r="A5" s="7" t="s">
        <v>2</v>
      </c>
      <c r="B5" s="7">
        <v>25535.25</v>
      </c>
      <c r="C5" s="7">
        <v>49422.75</v>
      </c>
      <c r="D5" s="7">
        <f>C5-B5</f>
        <v>23887.5</v>
      </c>
      <c r="E5" s="7">
        <f>B5-1.5*D5</f>
        <v>-10296</v>
      </c>
      <c r="F5" s="7">
        <f>C5+1.5*D5</f>
        <v>85254</v>
      </c>
    </row>
    <row r="6" spans="1:8" x14ac:dyDescent="0.35">
      <c r="A6" s="7" t="s">
        <v>6</v>
      </c>
      <c r="B6" s="7">
        <v>817.03</v>
      </c>
      <c r="C6" s="7">
        <v>1526.92</v>
      </c>
      <c r="D6" s="7">
        <f>C6-B6</f>
        <v>709.8900000000001</v>
      </c>
      <c r="E6" s="7">
        <f>B6-1.5*D6</f>
        <v>-247.80500000000006</v>
      </c>
      <c r="F6" s="7">
        <f>C6+1.5*D6</f>
        <v>2591.7550000000001</v>
      </c>
    </row>
    <row r="9" spans="1:8" x14ac:dyDescent="0.35">
      <c r="A9" s="1" t="s">
        <v>316</v>
      </c>
      <c r="B9" s="1" t="s">
        <v>344</v>
      </c>
      <c r="C9" s="1" t="s">
        <v>345</v>
      </c>
      <c r="D9" s="1" t="s">
        <v>346</v>
      </c>
    </row>
    <row r="10" spans="1:8" x14ac:dyDescent="0.35">
      <c r="A10" s="7" t="s">
        <v>8</v>
      </c>
      <c r="B10" s="7" t="s">
        <v>338</v>
      </c>
      <c r="C10" s="7" t="s">
        <v>338</v>
      </c>
      <c r="D10" s="7" t="s">
        <v>338</v>
      </c>
    </row>
    <row r="11" spans="1:8" x14ac:dyDescent="0.35">
      <c r="A11" s="7" t="s">
        <v>11</v>
      </c>
      <c r="B11" s="7" t="s">
        <v>338</v>
      </c>
      <c r="C11" s="7" t="s">
        <v>338</v>
      </c>
      <c r="D11" s="7" t="s">
        <v>338</v>
      </c>
    </row>
    <row r="12" spans="1:8" x14ac:dyDescent="0.35">
      <c r="A12" s="7" t="s">
        <v>13</v>
      </c>
      <c r="B12" s="7" t="s">
        <v>338</v>
      </c>
      <c r="C12" s="7" t="s">
        <v>338</v>
      </c>
      <c r="D12" s="7" t="s">
        <v>338</v>
      </c>
    </row>
    <row r="13" spans="1:8" x14ac:dyDescent="0.35">
      <c r="A13" s="7" t="s">
        <v>15</v>
      </c>
      <c r="B13" s="7" t="s">
        <v>338</v>
      </c>
      <c r="C13" s="7" t="s">
        <v>338</v>
      </c>
      <c r="D13" s="7" t="s">
        <v>338</v>
      </c>
    </row>
    <row r="14" spans="1:8" x14ac:dyDescent="0.35">
      <c r="A14" s="7" t="s">
        <v>17</v>
      </c>
      <c r="B14" s="7" t="s">
        <v>338</v>
      </c>
      <c r="C14" s="7" t="s">
        <v>338</v>
      </c>
      <c r="D14" s="7" t="s">
        <v>338</v>
      </c>
    </row>
    <row r="15" spans="1:8" x14ac:dyDescent="0.35">
      <c r="A15" s="7" t="s">
        <v>19</v>
      </c>
      <c r="B15" s="7" t="s">
        <v>338</v>
      </c>
      <c r="C15" s="7" t="s">
        <v>338</v>
      </c>
      <c r="D15" s="7" t="s">
        <v>338</v>
      </c>
    </row>
    <row r="16" spans="1:8" x14ac:dyDescent="0.35">
      <c r="A16" s="7" t="s">
        <v>20</v>
      </c>
      <c r="B16" s="7" t="s">
        <v>338</v>
      </c>
      <c r="C16" s="7" t="s">
        <v>338</v>
      </c>
      <c r="D16" s="7" t="s">
        <v>338</v>
      </c>
    </row>
    <row r="17" spans="1:4" x14ac:dyDescent="0.35">
      <c r="A17" s="7" t="s">
        <v>22</v>
      </c>
      <c r="B17" s="7" t="s">
        <v>338</v>
      </c>
      <c r="C17" s="7" t="s">
        <v>338</v>
      </c>
      <c r="D17" s="7" t="s">
        <v>338</v>
      </c>
    </row>
    <row r="18" spans="1:4" x14ac:dyDescent="0.35">
      <c r="A18" s="7" t="s">
        <v>24</v>
      </c>
      <c r="B18" s="7" t="s">
        <v>338</v>
      </c>
      <c r="C18" s="7" t="s">
        <v>338</v>
      </c>
      <c r="D18" s="7" t="s">
        <v>338</v>
      </c>
    </row>
    <row r="19" spans="1:4" x14ac:dyDescent="0.35">
      <c r="A19" s="7" t="s">
        <v>25</v>
      </c>
      <c r="B19" s="7" t="s">
        <v>338</v>
      </c>
      <c r="C19" s="7" t="s">
        <v>338</v>
      </c>
      <c r="D19" s="7" t="s">
        <v>338</v>
      </c>
    </row>
    <row r="20" spans="1:4" x14ac:dyDescent="0.35">
      <c r="A20" s="7" t="s">
        <v>26</v>
      </c>
      <c r="B20" s="7" t="s">
        <v>338</v>
      </c>
      <c r="C20" s="7" t="s">
        <v>338</v>
      </c>
      <c r="D20" s="7" t="s">
        <v>338</v>
      </c>
    </row>
    <row r="21" spans="1:4" x14ac:dyDescent="0.35">
      <c r="A21" s="7" t="s">
        <v>27</v>
      </c>
      <c r="B21" s="7" t="s">
        <v>338</v>
      </c>
      <c r="C21" s="7" t="s">
        <v>338</v>
      </c>
      <c r="D21" s="7" t="s">
        <v>338</v>
      </c>
    </row>
    <row r="22" spans="1:4" x14ac:dyDescent="0.35">
      <c r="A22" s="7" t="s">
        <v>28</v>
      </c>
      <c r="B22" s="7" t="s">
        <v>338</v>
      </c>
      <c r="C22" s="7" t="s">
        <v>338</v>
      </c>
      <c r="D22" s="7" t="s">
        <v>338</v>
      </c>
    </row>
    <row r="23" spans="1:4" x14ac:dyDescent="0.35">
      <c r="A23" s="7" t="s">
        <v>29</v>
      </c>
      <c r="B23" s="7" t="s">
        <v>338</v>
      </c>
      <c r="C23" s="7" t="s">
        <v>338</v>
      </c>
      <c r="D23" s="7" t="s">
        <v>338</v>
      </c>
    </row>
    <row r="24" spans="1:4" x14ac:dyDescent="0.35">
      <c r="A24" s="7" t="s">
        <v>30</v>
      </c>
      <c r="B24" s="7" t="s">
        <v>338</v>
      </c>
      <c r="C24" s="7" t="s">
        <v>338</v>
      </c>
      <c r="D24" s="7" t="s">
        <v>338</v>
      </c>
    </row>
    <row r="25" spans="1:4" x14ac:dyDescent="0.35">
      <c r="A25" s="7" t="s">
        <v>31</v>
      </c>
      <c r="B25" s="7" t="s">
        <v>338</v>
      </c>
      <c r="C25" s="7" t="s">
        <v>338</v>
      </c>
      <c r="D25" s="7" t="s">
        <v>338</v>
      </c>
    </row>
    <row r="26" spans="1:4" x14ac:dyDescent="0.35">
      <c r="A26" s="7" t="s">
        <v>32</v>
      </c>
      <c r="B26" s="7" t="s">
        <v>338</v>
      </c>
      <c r="C26" s="7" t="s">
        <v>338</v>
      </c>
      <c r="D26" s="7" t="s">
        <v>338</v>
      </c>
    </row>
    <row r="27" spans="1:4" x14ac:dyDescent="0.35">
      <c r="A27" s="7" t="s">
        <v>33</v>
      </c>
      <c r="B27" s="7" t="s">
        <v>339</v>
      </c>
      <c r="C27" s="7" t="s">
        <v>338</v>
      </c>
      <c r="D27" s="7" t="s">
        <v>338</v>
      </c>
    </row>
    <row r="28" spans="1:4" x14ac:dyDescent="0.35">
      <c r="A28" s="7" t="s">
        <v>34</v>
      </c>
      <c r="B28" s="7" t="s">
        <v>338</v>
      </c>
      <c r="C28" s="7" t="s">
        <v>338</v>
      </c>
      <c r="D28" s="7" t="s">
        <v>338</v>
      </c>
    </row>
    <row r="29" spans="1:4" x14ac:dyDescent="0.35">
      <c r="A29" s="7" t="s">
        <v>35</v>
      </c>
      <c r="B29" s="7" t="s">
        <v>338</v>
      </c>
      <c r="C29" s="7" t="s">
        <v>338</v>
      </c>
      <c r="D29" s="7" t="s">
        <v>338</v>
      </c>
    </row>
    <row r="30" spans="1:4" x14ac:dyDescent="0.35">
      <c r="A30" s="7" t="s">
        <v>36</v>
      </c>
      <c r="B30" s="7" t="s">
        <v>338</v>
      </c>
      <c r="C30" s="7" t="s">
        <v>338</v>
      </c>
      <c r="D30" s="7" t="s">
        <v>338</v>
      </c>
    </row>
    <row r="31" spans="1:4" x14ac:dyDescent="0.35">
      <c r="A31" s="7" t="s">
        <v>37</v>
      </c>
      <c r="B31" s="7" t="s">
        <v>338</v>
      </c>
      <c r="C31" s="7" t="s">
        <v>338</v>
      </c>
      <c r="D31" s="7" t="s">
        <v>338</v>
      </c>
    </row>
    <row r="32" spans="1:4" x14ac:dyDescent="0.35">
      <c r="A32" s="7" t="s">
        <v>38</v>
      </c>
      <c r="B32" s="7" t="s">
        <v>338</v>
      </c>
      <c r="C32" s="7" t="s">
        <v>338</v>
      </c>
      <c r="D32" s="7" t="s">
        <v>338</v>
      </c>
    </row>
    <row r="33" spans="1:4" x14ac:dyDescent="0.35">
      <c r="A33" s="7" t="s">
        <v>39</v>
      </c>
      <c r="B33" s="7" t="s">
        <v>338</v>
      </c>
      <c r="C33" s="7" t="s">
        <v>339</v>
      </c>
      <c r="D33" s="7" t="s">
        <v>338</v>
      </c>
    </row>
    <row r="34" spans="1:4" x14ac:dyDescent="0.35">
      <c r="A34" s="7" t="s">
        <v>40</v>
      </c>
      <c r="B34" s="7" t="s">
        <v>338</v>
      </c>
      <c r="C34" s="7" t="s">
        <v>338</v>
      </c>
      <c r="D34" s="7" t="s">
        <v>338</v>
      </c>
    </row>
    <row r="35" spans="1:4" x14ac:dyDescent="0.35">
      <c r="A35" s="7" t="s">
        <v>41</v>
      </c>
      <c r="B35" s="7" t="s">
        <v>338</v>
      </c>
      <c r="C35" s="7" t="s">
        <v>338</v>
      </c>
      <c r="D35" s="7" t="s">
        <v>338</v>
      </c>
    </row>
    <row r="36" spans="1:4" x14ac:dyDescent="0.35">
      <c r="A36" s="7" t="s">
        <v>42</v>
      </c>
      <c r="B36" s="7" t="s">
        <v>338</v>
      </c>
      <c r="C36" s="7" t="s">
        <v>338</v>
      </c>
      <c r="D36" s="7" t="s">
        <v>338</v>
      </c>
    </row>
    <row r="37" spans="1:4" x14ac:dyDescent="0.35">
      <c r="A37" s="7" t="s">
        <v>43</v>
      </c>
      <c r="B37" s="7" t="s">
        <v>338</v>
      </c>
      <c r="C37" s="7" t="s">
        <v>338</v>
      </c>
      <c r="D37" s="7" t="s">
        <v>338</v>
      </c>
    </row>
    <row r="38" spans="1:4" x14ac:dyDescent="0.35">
      <c r="A38" s="7" t="s">
        <v>44</v>
      </c>
      <c r="B38" s="7" t="s">
        <v>338</v>
      </c>
      <c r="C38" s="7" t="s">
        <v>338</v>
      </c>
      <c r="D38" s="7" t="s">
        <v>338</v>
      </c>
    </row>
    <row r="39" spans="1:4" x14ac:dyDescent="0.35">
      <c r="A39" s="7" t="s">
        <v>45</v>
      </c>
      <c r="B39" s="7" t="s">
        <v>338</v>
      </c>
      <c r="C39" s="7" t="s">
        <v>338</v>
      </c>
      <c r="D39" s="7" t="s">
        <v>338</v>
      </c>
    </row>
    <row r="40" spans="1:4" x14ac:dyDescent="0.35">
      <c r="A40" s="7" t="s">
        <v>46</v>
      </c>
      <c r="B40" s="7" t="s">
        <v>338</v>
      </c>
      <c r="C40" s="7" t="s">
        <v>338</v>
      </c>
      <c r="D40" s="7" t="s">
        <v>338</v>
      </c>
    </row>
    <row r="41" spans="1:4" x14ac:dyDescent="0.35">
      <c r="A41" s="7" t="s">
        <v>47</v>
      </c>
      <c r="B41" s="7" t="s">
        <v>338</v>
      </c>
      <c r="C41" s="7" t="s">
        <v>338</v>
      </c>
      <c r="D41" s="7" t="s">
        <v>338</v>
      </c>
    </row>
    <row r="42" spans="1:4" x14ac:dyDescent="0.35">
      <c r="A42" s="7" t="s">
        <v>48</v>
      </c>
      <c r="B42" s="7" t="s">
        <v>338</v>
      </c>
      <c r="C42" s="7" t="s">
        <v>338</v>
      </c>
      <c r="D42" s="7" t="s">
        <v>338</v>
      </c>
    </row>
    <row r="43" spans="1:4" x14ac:dyDescent="0.35">
      <c r="A43" s="7" t="s">
        <v>49</v>
      </c>
      <c r="B43" s="7" t="s">
        <v>338</v>
      </c>
      <c r="C43" s="7" t="s">
        <v>338</v>
      </c>
      <c r="D43" s="7" t="s">
        <v>338</v>
      </c>
    </row>
    <row r="44" spans="1:4" x14ac:dyDescent="0.35">
      <c r="A44" s="7" t="s">
        <v>50</v>
      </c>
      <c r="B44" s="7" t="s">
        <v>338</v>
      </c>
      <c r="C44" s="7" t="s">
        <v>338</v>
      </c>
      <c r="D44" s="7" t="s">
        <v>338</v>
      </c>
    </row>
    <row r="45" spans="1:4" x14ac:dyDescent="0.35">
      <c r="A45" s="7" t="s">
        <v>51</v>
      </c>
      <c r="B45" s="7" t="s">
        <v>338</v>
      </c>
      <c r="C45" s="7" t="s">
        <v>338</v>
      </c>
      <c r="D45" s="7" t="s">
        <v>338</v>
      </c>
    </row>
    <row r="46" spans="1:4" x14ac:dyDescent="0.35">
      <c r="A46" s="7" t="s">
        <v>52</v>
      </c>
      <c r="B46" s="7" t="s">
        <v>338</v>
      </c>
      <c r="C46" s="7" t="s">
        <v>338</v>
      </c>
      <c r="D46" s="7" t="s">
        <v>338</v>
      </c>
    </row>
    <row r="47" spans="1:4" x14ac:dyDescent="0.35">
      <c r="A47" s="7" t="s">
        <v>53</v>
      </c>
      <c r="B47" s="7" t="s">
        <v>338</v>
      </c>
      <c r="C47" s="7" t="s">
        <v>338</v>
      </c>
      <c r="D47" s="7" t="s">
        <v>338</v>
      </c>
    </row>
    <row r="48" spans="1:4" x14ac:dyDescent="0.35">
      <c r="A48" s="7" t="s">
        <v>54</v>
      </c>
      <c r="B48" s="7" t="s">
        <v>338</v>
      </c>
      <c r="C48" s="7" t="s">
        <v>338</v>
      </c>
      <c r="D48" s="7" t="s">
        <v>338</v>
      </c>
    </row>
    <row r="49" spans="1:4" x14ac:dyDescent="0.35">
      <c r="A49" s="7" t="s">
        <v>55</v>
      </c>
      <c r="B49" s="7" t="s">
        <v>338</v>
      </c>
      <c r="C49" s="7" t="s">
        <v>338</v>
      </c>
      <c r="D49" s="7" t="s">
        <v>338</v>
      </c>
    </row>
    <row r="50" spans="1:4" x14ac:dyDescent="0.35">
      <c r="A50" s="7" t="s">
        <v>56</v>
      </c>
      <c r="B50" s="7" t="s">
        <v>338</v>
      </c>
      <c r="C50" s="7" t="s">
        <v>338</v>
      </c>
      <c r="D50" s="7" t="s">
        <v>338</v>
      </c>
    </row>
    <row r="51" spans="1:4" x14ac:dyDescent="0.35">
      <c r="A51" s="7" t="s">
        <v>57</v>
      </c>
      <c r="B51" s="7" t="s">
        <v>338</v>
      </c>
      <c r="C51" s="7" t="s">
        <v>338</v>
      </c>
      <c r="D51" s="7" t="s">
        <v>338</v>
      </c>
    </row>
    <row r="52" spans="1:4" x14ac:dyDescent="0.35">
      <c r="A52" s="7" t="s">
        <v>58</v>
      </c>
      <c r="B52" s="7" t="s">
        <v>338</v>
      </c>
      <c r="C52" s="7" t="s">
        <v>338</v>
      </c>
      <c r="D52" s="7" t="s">
        <v>339</v>
      </c>
    </row>
    <row r="53" spans="1:4" x14ac:dyDescent="0.35">
      <c r="A53" s="7" t="s">
        <v>59</v>
      </c>
      <c r="B53" s="7" t="s">
        <v>338</v>
      </c>
      <c r="C53" s="7" t="s">
        <v>338</v>
      </c>
      <c r="D53" s="7" t="s">
        <v>338</v>
      </c>
    </row>
    <row r="54" spans="1:4" x14ac:dyDescent="0.35">
      <c r="A54" s="7" t="s">
        <v>60</v>
      </c>
      <c r="B54" s="7" t="s">
        <v>338</v>
      </c>
      <c r="C54" s="7" t="s">
        <v>338</v>
      </c>
      <c r="D54" s="7" t="s">
        <v>338</v>
      </c>
    </row>
    <row r="55" spans="1:4" x14ac:dyDescent="0.35">
      <c r="A55" s="7" t="s">
        <v>61</v>
      </c>
      <c r="B55" s="7" t="s">
        <v>338</v>
      </c>
      <c r="C55" s="7" t="s">
        <v>338</v>
      </c>
      <c r="D55" s="7" t="s">
        <v>338</v>
      </c>
    </row>
    <row r="56" spans="1:4" x14ac:dyDescent="0.35">
      <c r="A56" s="7" t="s">
        <v>62</v>
      </c>
      <c r="B56" s="7" t="s">
        <v>338</v>
      </c>
      <c r="C56" s="7" t="s">
        <v>338</v>
      </c>
      <c r="D56" s="7" t="s">
        <v>338</v>
      </c>
    </row>
    <row r="57" spans="1:4" x14ac:dyDescent="0.35">
      <c r="A57" s="7" t="s">
        <v>63</v>
      </c>
      <c r="B57" s="7" t="s">
        <v>338</v>
      </c>
      <c r="C57" s="7" t="s">
        <v>338</v>
      </c>
      <c r="D57" s="7" t="s">
        <v>338</v>
      </c>
    </row>
    <row r="58" spans="1:4" x14ac:dyDescent="0.35">
      <c r="A58" s="7" t="s">
        <v>64</v>
      </c>
      <c r="B58" s="7" t="s">
        <v>338</v>
      </c>
      <c r="C58" s="7" t="s">
        <v>338</v>
      </c>
      <c r="D58" s="7" t="s">
        <v>338</v>
      </c>
    </row>
    <row r="59" spans="1:4" x14ac:dyDescent="0.35">
      <c r="A59" s="7" t="s">
        <v>65</v>
      </c>
      <c r="B59" s="7" t="s">
        <v>338</v>
      </c>
      <c r="C59" s="7" t="s">
        <v>338</v>
      </c>
      <c r="D59" s="7" t="s">
        <v>338</v>
      </c>
    </row>
    <row r="60" spans="1:4" x14ac:dyDescent="0.35">
      <c r="A60" s="7" t="s">
        <v>66</v>
      </c>
      <c r="B60" s="7" t="s">
        <v>338</v>
      </c>
      <c r="C60" s="7" t="s">
        <v>338</v>
      </c>
      <c r="D60" s="7" t="s">
        <v>338</v>
      </c>
    </row>
    <row r="61" spans="1:4" x14ac:dyDescent="0.35">
      <c r="A61" s="7" t="s">
        <v>67</v>
      </c>
      <c r="B61" s="7" t="s">
        <v>338</v>
      </c>
      <c r="C61" s="7" t="s">
        <v>338</v>
      </c>
      <c r="D61" s="7" t="s">
        <v>338</v>
      </c>
    </row>
    <row r="62" spans="1:4" x14ac:dyDescent="0.35">
      <c r="A62" s="7" t="s">
        <v>68</v>
      </c>
      <c r="B62" s="7" t="s">
        <v>338</v>
      </c>
      <c r="C62" s="7" t="s">
        <v>338</v>
      </c>
      <c r="D62" s="7" t="s">
        <v>338</v>
      </c>
    </row>
    <row r="63" spans="1:4" x14ac:dyDescent="0.35">
      <c r="A63" s="7" t="s">
        <v>69</v>
      </c>
      <c r="B63" s="7" t="s">
        <v>338</v>
      </c>
      <c r="C63" s="7" t="s">
        <v>338</v>
      </c>
      <c r="D63" s="7" t="s">
        <v>338</v>
      </c>
    </row>
    <row r="64" spans="1:4" x14ac:dyDescent="0.35">
      <c r="A64" s="7" t="s">
        <v>70</v>
      </c>
      <c r="B64" s="7" t="s">
        <v>338</v>
      </c>
      <c r="C64" s="7" t="s">
        <v>338</v>
      </c>
      <c r="D64" s="7" t="s">
        <v>338</v>
      </c>
    </row>
    <row r="65" spans="1:4" x14ac:dyDescent="0.35">
      <c r="A65" s="7" t="s">
        <v>71</v>
      </c>
      <c r="B65" s="7" t="s">
        <v>338</v>
      </c>
      <c r="C65" s="7" t="s">
        <v>338</v>
      </c>
      <c r="D65" s="7" t="s">
        <v>338</v>
      </c>
    </row>
    <row r="66" spans="1:4" x14ac:dyDescent="0.35">
      <c r="A66" s="7" t="s">
        <v>72</v>
      </c>
      <c r="B66" s="7" t="s">
        <v>338</v>
      </c>
      <c r="C66" s="7" t="s">
        <v>338</v>
      </c>
      <c r="D66" s="7" t="s">
        <v>338</v>
      </c>
    </row>
    <row r="67" spans="1:4" x14ac:dyDescent="0.35">
      <c r="A67" s="7" t="s">
        <v>73</v>
      </c>
      <c r="B67" s="7" t="s">
        <v>338</v>
      </c>
      <c r="C67" s="7" t="s">
        <v>338</v>
      </c>
      <c r="D67" s="7" t="s">
        <v>338</v>
      </c>
    </row>
    <row r="68" spans="1:4" x14ac:dyDescent="0.35">
      <c r="A68" s="7" t="s">
        <v>74</v>
      </c>
      <c r="B68" s="7" t="s">
        <v>338</v>
      </c>
      <c r="C68" s="7" t="s">
        <v>338</v>
      </c>
      <c r="D68" s="7" t="s">
        <v>338</v>
      </c>
    </row>
    <row r="69" spans="1:4" x14ac:dyDescent="0.35">
      <c r="A69" s="7" t="s">
        <v>75</v>
      </c>
      <c r="B69" s="7" t="s">
        <v>338</v>
      </c>
      <c r="C69" s="7" t="s">
        <v>338</v>
      </c>
      <c r="D69" s="7" t="s">
        <v>338</v>
      </c>
    </row>
    <row r="70" spans="1:4" x14ac:dyDescent="0.35">
      <c r="A70" s="7" t="s">
        <v>76</v>
      </c>
      <c r="B70" s="7" t="s">
        <v>338</v>
      </c>
      <c r="C70" s="7" t="s">
        <v>338</v>
      </c>
      <c r="D70" s="7" t="s">
        <v>338</v>
      </c>
    </row>
    <row r="71" spans="1:4" x14ac:dyDescent="0.35">
      <c r="A71" s="7" t="s">
        <v>77</v>
      </c>
      <c r="B71" s="7" t="s">
        <v>338</v>
      </c>
      <c r="C71" s="7" t="s">
        <v>338</v>
      </c>
      <c r="D71" s="7" t="s">
        <v>338</v>
      </c>
    </row>
    <row r="72" spans="1:4" x14ac:dyDescent="0.35">
      <c r="A72" s="7" t="s">
        <v>78</v>
      </c>
      <c r="B72" s="7" t="s">
        <v>338</v>
      </c>
      <c r="C72" s="7" t="s">
        <v>338</v>
      </c>
      <c r="D72" s="7" t="s">
        <v>338</v>
      </c>
    </row>
    <row r="73" spans="1:4" x14ac:dyDescent="0.35">
      <c r="A73" s="7" t="s">
        <v>79</v>
      </c>
      <c r="B73" s="7" t="s">
        <v>338</v>
      </c>
      <c r="C73" s="7" t="s">
        <v>338</v>
      </c>
      <c r="D73" s="7" t="s">
        <v>338</v>
      </c>
    </row>
    <row r="74" spans="1:4" x14ac:dyDescent="0.35">
      <c r="A74" s="7" t="s">
        <v>80</v>
      </c>
      <c r="B74" s="7" t="s">
        <v>338</v>
      </c>
      <c r="C74" s="7" t="s">
        <v>338</v>
      </c>
      <c r="D74" s="7" t="s">
        <v>338</v>
      </c>
    </row>
    <row r="75" spans="1:4" x14ac:dyDescent="0.35">
      <c r="A75" s="7" t="s">
        <v>81</v>
      </c>
      <c r="B75" s="7" t="s">
        <v>338</v>
      </c>
      <c r="C75" s="7" t="s">
        <v>338</v>
      </c>
      <c r="D75" s="7" t="s">
        <v>338</v>
      </c>
    </row>
    <row r="76" spans="1:4" x14ac:dyDescent="0.35">
      <c r="A76" s="7" t="s">
        <v>82</v>
      </c>
      <c r="B76" s="7" t="s">
        <v>338</v>
      </c>
      <c r="C76" s="7" t="s">
        <v>338</v>
      </c>
      <c r="D76" s="7" t="s">
        <v>338</v>
      </c>
    </row>
    <row r="77" spans="1:4" x14ac:dyDescent="0.35">
      <c r="A77" s="7" t="s">
        <v>83</v>
      </c>
      <c r="B77" s="7" t="s">
        <v>338</v>
      </c>
      <c r="C77" s="7" t="s">
        <v>338</v>
      </c>
      <c r="D77" s="7" t="s">
        <v>338</v>
      </c>
    </row>
    <row r="78" spans="1:4" x14ac:dyDescent="0.35">
      <c r="A78" s="7" t="s">
        <v>84</v>
      </c>
      <c r="B78" s="7" t="s">
        <v>338</v>
      </c>
      <c r="C78" s="7" t="s">
        <v>338</v>
      </c>
      <c r="D78" s="7" t="s">
        <v>338</v>
      </c>
    </row>
    <row r="79" spans="1:4" x14ac:dyDescent="0.35">
      <c r="A79" s="7" t="s">
        <v>85</v>
      </c>
      <c r="B79" s="7" t="s">
        <v>338</v>
      </c>
      <c r="C79" s="7" t="s">
        <v>338</v>
      </c>
      <c r="D79" s="7" t="s">
        <v>338</v>
      </c>
    </row>
    <row r="80" spans="1:4" x14ac:dyDescent="0.35">
      <c r="A80" s="7" t="s">
        <v>86</v>
      </c>
      <c r="B80" s="7" t="s">
        <v>338</v>
      </c>
      <c r="C80" s="7" t="s">
        <v>338</v>
      </c>
      <c r="D80" s="7" t="s">
        <v>338</v>
      </c>
    </row>
    <row r="81" spans="1:4" x14ac:dyDescent="0.35">
      <c r="A81" s="7" t="s">
        <v>87</v>
      </c>
      <c r="B81" s="7" t="s">
        <v>338</v>
      </c>
      <c r="C81" s="7" t="s">
        <v>338</v>
      </c>
      <c r="D81" s="7" t="s">
        <v>338</v>
      </c>
    </row>
    <row r="82" spans="1:4" x14ac:dyDescent="0.35">
      <c r="A82" s="7" t="s">
        <v>88</v>
      </c>
      <c r="B82" s="7" t="s">
        <v>338</v>
      </c>
      <c r="C82" s="7" t="s">
        <v>338</v>
      </c>
      <c r="D82" s="7" t="s">
        <v>338</v>
      </c>
    </row>
    <row r="83" spans="1:4" x14ac:dyDescent="0.35">
      <c r="A83" s="7" t="s">
        <v>89</v>
      </c>
      <c r="B83" s="7" t="s">
        <v>338</v>
      </c>
      <c r="C83" s="7" t="s">
        <v>338</v>
      </c>
      <c r="D83" s="7" t="s">
        <v>338</v>
      </c>
    </row>
    <row r="84" spans="1:4" x14ac:dyDescent="0.35">
      <c r="A84" s="7" t="s">
        <v>90</v>
      </c>
      <c r="B84" s="7" t="s">
        <v>338</v>
      </c>
      <c r="C84" s="7" t="s">
        <v>339</v>
      </c>
      <c r="D84" s="7" t="s">
        <v>338</v>
      </c>
    </row>
    <row r="85" spans="1:4" x14ac:dyDescent="0.35">
      <c r="A85" s="7" t="s">
        <v>91</v>
      </c>
      <c r="B85" s="7" t="s">
        <v>338</v>
      </c>
      <c r="C85" s="7" t="s">
        <v>338</v>
      </c>
      <c r="D85" s="7" t="s">
        <v>338</v>
      </c>
    </row>
    <row r="86" spans="1:4" x14ac:dyDescent="0.35">
      <c r="A86" s="7" t="s">
        <v>92</v>
      </c>
      <c r="B86" s="7" t="s">
        <v>338</v>
      </c>
      <c r="C86" s="7" t="s">
        <v>338</v>
      </c>
      <c r="D86" s="7" t="s">
        <v>338</v>
      </c>
    </row>
    <row r="87" spans="1:4" x14ac:dyDescent="0.35">
      <c r="A87" s="7" t="s">
        <v>93</v>
      </c>
      <c r="B87" s="7" t="s">
        <v>338</v>
      </c>
      <c r="C87" s="7" t="s">
        <v>338</v>
      </c>
      <c r="D87" s="7" t="s">
        <v>338</v>
      </c>
    </row>
    <row r="88" spans="1:4" x14ac:dyDescent="0.35">
      <c r="A88" s="7" t="s">
        <v>94</v>
      </c>
      <c r="B88" s="7" t="s">
        <v>338</v>
      </c>
      <c r="C88" s="7" t="s">
        <v>339</v>
      </c>
      <c r="D88" s="7" t="s">
        <v>338</v>
      </c>
    </row>
    <row r="89" spans="1:4" x14ac:dyDescent="0.35">
      <c r="A89" s="7" t="s">
        <v>95</v>
      </c>
      <c r="B89" s="7" t="s">
        <v>338</v>
      </c>
      <c r="C89" s="7" t="s">
        <v>338</v>
      </c>
      <c r="D89" s="7" t="s">
        <v>338</v>
      </c>
    </row>
    <row r="90" spans="1:4" x14ac:dyDescent="0.35">
      <c r="A90" s="7" t="s">
        <v>96</v>
      </c>
      <c r="B90" s="7" t="s">
        <v>338</v>
      </c>
      <c r="C90" s="7" t="s">
        <v>338</v>
      </c>
      <c r="D90" s="7" t="s">
        <v>338</v>
      </c>
    </row>
    <row r="91" spans="1:4" x14ac:dyDescent="0.35">
      <c r="A91" s="7" t="s">
        <v>97</v>
      </c>
      <c r="B91" s="7" t="s">
        <v>338</v>
      </c>
      <c r="C91" s="7" t="s">
        <v>338</v>
      </c>
      <c r="D91" s="7" t="s">
        <v>338</v>
      </c>
    </row>
    <row r="92" spans="1:4" x14ac:dyDescent="0.35">
      <c r="A92" s="7" t="s">
        <v>98</v>
      </c>
      <c r="B92" s="7" t="s">
        <v>338</v>
      </c>
      <c r="C92" s="7" t="s">
        <v>338</v>
      </c>
      <c r="D92" s="7" t="s">
        <v>338</v>
      </c>
    </row>
    <row r="93" spans="1:4" x14ac:dyDescent="0.35">
      <c r="A93" s="7" t="s">
        <v>99</v>
      </c>
      <c r="B93" s="7" t="s">
        <v>338</v>
      </c>
      <c r="C93" s="7" t="s">
        <v>338</v>
      </c>
      <c r="D93" s="7" t="s">
        <v>338</v>
      </c>
    </row>
    <row r="94" spans="1:4" x14ac:dyDescent="0.35">
      <c r="A94" s="7" t="s">
        <v>100</v>
      </c>
      <c r="B94" s="7" t="s">
        <v>338</v>
      </c>
      <c r="C94" s="7" t="s">
        <v>338</v>
      </c>
      <c r="D94" s="7" t="s">
        <v>338</v>
      </c>
    </row>
    <row r="95" spans="1:4" x14ac:dyDescent="0.35">
      <c r="A95" s="7" t="s">
        <v>101</v>
      </c>
      <c r="B95" s="7" t="s">
        <v>338</v>
      </c>
      <c r="C95" s="7" t="s">
        <v>338</v>
      </c>
      <c r="D95" s="7" t="s">
        <v>338</v>
      </c>
    </row>
    <row r="96" spans="1:4" x14ac:dyDescent="0.35">
      <c r="A96" s="7" t="s">
        <v>102</v>
      </c>
      <c r="B96" s="7" t="s">
        <v>338</v>
      </c>
      <c r="C96" s="7" t="s">
        <v>338</v>
      </c>
      <c r="D96" s="7" t="s">
        <v>338</v>
      </c>
    </row>
    <row r="97" spans="1:4" x14ac:dyDescent="0.35">
      <c r="A97" s="7" t="s">
        <v>103</v>
      </c>
      <c r="B97" s="7" t="s">
        <v>338</v>
      </c>
      <c r="C97" s="7" t="s">
        <v>339</v>
      </c>
      <c r="D97" s="7" t="s">
        <v>338</v>
      </c>
    </row>
    <row r="98" spans="1:4" x14ac:dyDescent="0.35">
      <c r="A98" s="7" t="s">
        <v>104</v>
      </c>
      <c r="B98" s="7" t="s">
        <v>338</v>
      </c>
      <c r="C98" s="7" t="s">
        <v>338</v>
      </c>
      <c r="D98" s="7" t="s">
        <v>339</v>
      </c>
    </row>
    <row r="99" spans="1:4" x14ac:dyDescent="0.35">
      <c r="A99" s="7" t="s">
        <v>105</v>
      </c>
      <c r="B99" s="7" t="s">
        <v>338</v>
      </c>
      <c r="C99" s="7" t="s">
        <v>338</v>
      </c>
      <c r="D99" s="7" t="s">
        <v>338</v>
      </c>
    </row>
    <row r="100" spans="1:4" x14ac:dyDescent="0.35">
      <c r="A100" s="7" t="s">
        <v>106</v>
      </c>
      <c r="B100" s="7" t="s">
        <v>338</v>
      </c>
      <c r="C100" s="7" t="s">
        <v>338</v>
      </c>
      <c r="D100" s="7" t="s">
        <v>338</v>
      </c>
    </row>
    <row r="101" spans="1:4" x14ac:dyDescent="0.35">
      <c r="A101" s="7" t="s">
        <v>107</v>
      </c>
      <c r="B101" s="7" t="s">
        <v>338</v>
      </c>
      <c r="C101" s="7" t="s">
        <v>338</v>
      </c>
      <c r="D101" s="7" t="s">
        <v>338</v>
      </c>
    </row>
    <row r="102" spans="1:4" x14ac:dyDescent="0.35">
      <c r="A102" s="7" t="s">
        <v>108</v>
      </c>
      <c r="B102" s="7" t="s">
        <v>338</v>
      </c>
      <c r="C102" s="7" t="s">
        <v>338</v>
      </c>
      <c r="D102" s="7" t="s">
        <v>338</v>
      </c>
    </row>
    <row r="103" spans="1:4" x14ac:dyDescent="0.35">
      <c r="A103" s="7" t="s">
        <v>109</v>
      </c>
      <c r="B103" s="7" t="s">
        <v>338</v>
      </c>
      <c r="C103" s="7" t="s">
        <v>339</v>
      </c>
      <c r="D103" s="7" t="s">
        <v>338</v>
      </c>
    </row>
    <row r="104" spans="1:4" x14ac:dyDescent="0.35">
      <c r="A104" s="7" t="s">
        <v>110</v>
      </c>
      <c r="B104" s="7" t="s">
        <v>338</v>
      </c>
      <c r="C104" s="7" t="s">
        <v>338</v>
      </c>
      <c r="D104" s="7" t="s">
        <v>338</v>
      </c>
    </row>
    <row r="105" spans="1:4" x14ac:dyDescent="0.35">
      <c r="A105" s="7" t="s">
        <v>111</v>
      </c>
      <c r="B105" s="7" t="s">
        <v>338</v>
      </c>
      <c r="C105" s="7" t="s">
        <v>338</v>
      </c>
      <c r="D105" s="7" t="s">
        <v>338</v>
      </c>
    </row>
    <row r="106" spans="1:4" x14ac:dyDescent="0.35">
      <c r="A106" s="7" t="s">
        <v>112</v>
      </c>
      <c r="B106" s="7" t="s">
        <v>338</v>
      </c>
      <c r="C106" s="7" t="s">
        <v>338</v>
      </c>
      <c r="D106" s="7" t="s">
        <v>338</v>
      </c>
    </row>
    <row r="107" spans="1:4" x14ac:dyDescent="0.35">
      <c r="A107" s="7" t="s">
        <v>113</v>
      </c>
      <c r="B107" s="7" t="s">
        <v>338</v>
      </c>
      <c r="C107" s="7" t="s">
        <v>338</v>
      </c>
      <c r="D107" s="7" t="s">
        <v>338</v>
      </c>
    </row>
    <row r="108" spans="1:4" x14ac:dyDescent="0.35">
      <c r="A108" s="7" t="s">
        <v>114</v>
      </c>
      <c r="B108" s="7" t="s">
        <v>338</v>
      </c>
      <c r="C108" s="7" t="s">
        <v>338</v>
      </c>
      <c r="D108" s="7" t="s">
        <v>338</v>
      </c>
    </row>
    <row r="109" spans="1:4" x14ac:dyDescent="0.35">
      <c r="A109" s="7" t="s">
        <v>115</v>
      </c>
      <c r="B109" s="7" t="s">
        <v>338</v>
      </c>
      <c r="C109" s="7" t="s">
        <v>338</v>
      </c>
      <c r="D109" s="7" t="s">
        <v>338</v>
      </c>
    </row>
    <row r="110" spans="1:4" x14ac:dyDescent="0.35">
      <c r="A110" s="7" t="s">
        <v>116</v>
      </c>
      <c r="B110" s="7" t="s">
        <v>338</v>
      </c>
      <c r="C110" s="7" t="s">
        <v>338</v>
      </c>
      <c r="D110" s="7" t="s">
        <v>338</v>
      </c>
    </row>
    <row r="111" spans="1:4" x14ac:dyDescent="0.35">
      <c r="A111" s="7" t="s">
        <v>117</v>
      </c>
      <c r="B111" s="7" t="s">
        <v>338</v>
      </c>
      <c r="C111" s="7" t="s">
        <v>338</v>
      </c>
      <c r="D111" s="7" t="s">
        <v>338</v>
      </c>
    </row>
    <row r="112" spans="1:4" x14ac:dyDescent="0.35">
      <c r="A112" s="7" t="s">
        <v>118</v>
      </c>
      <c r="B112" s="7" t="s">
        <v>338</v>
      </c>
      <c r="C112" s="7" t="s">
        <v>338</v>
      </c>
      <c r="D112" s="7" t="s">
        <v>338</v>
      </c>
    </row>
    <row r="113" spans="1:4" x14ac:dyDescent="0.35">
      <c r="A113" s="7" t="s">
        <v>119</v>
      </c>
      <c r="B113" s="7" t="s">
        <v>338</v>
      </c>
      <c r="C113" s="7" t="s">
        <v>338</v>
      </c>
      <c r="D113" s="7" t="s">
        <v>338</v>
      </c>
    </row>
    <row r="114" spans="1:4" x14ac:dyDescent="0.35">
      <c r="A114" s="7" t="s">
        <v>120</v>
      </c>
      <c r="B114" s="7" t="s">
        <v>338</v>
      </c>
      <c r="C114" s="7" t="s">
        <v>338</v>
      </c>
      <c r="D114" s="7" t="s">
        <v>338</v>
      </c>
    </row>
    <row r="115" spans="1:4" x14ac:dyDescent="0.35">
      <c r="A115" s="7" t="s">
        <v>121</v>
      </c>
      <c r="B115" s="7" t="s">
        <v>338</v>
      </c>
      <c r="C115" s="7" t="s">
        <v>338</v>
      </c>
      <c r="D115" s="7" t="s">
        <v>338</v>
      </c>
    </row>
    <row r="116" spans="1:4" x14ac:dyDescent="0.35">
      <c r="A116" s="7" t="s">
        <v>122</v>
      </c>
      <c r="B116" s="7" t="s">
        <v>338</v>
      </c>
      <c r="C116" s="7" t="s">
        <v>338</v>
      </c>
      <c r="D116" s="7" t="s">
        <v>338</v>
      </c>
    </row>
    <row r="117" spans="1:4" x14ac:dyDescent="0.35">
      <c r="A117" s="7" t="s">
        <v>123</v>
      </c>
      <c r="B117" s="7" t="s">
        <v>338</v>
      </c>
      <c r="C117" s="7" t="s">
        <v>338</v>
      </c>
      <c r="D117" s="7" t="s">
        <v>338</v>
      </c>
    </row>
    <row r="118" spans="1:4" x14ac:dyDescent="0.35">
      <c r="A118" s="7" t="s">
        <v>124</v>
      </c>
      <c r="B118" s="7" t="s">
        <v>338</v>
      </c>
      <c r="C118" s="7" t="s">
        <v>338</v>
      </c>
      <c r="D118" s="7" t="s">
        <v>338</v>
      </c>
    </row>
    <row r="119" spans="1:4" x14ac:dyDescent="0.35">
      <c r="A119" s="7" t="s">
        <v>125</v>
      </c>
      <c r="B119" s="7" t="s">
        <v>338</v>
      </c>
      <c r="C119" s="7" t="s">
        <v>338</v>
      </c>
      <c r="D119" s="7" t="s">
        <v>338</v>
      </c>
    </row>
    <row r="120" spans="1:4" x14ac:dyDescent="0.35">
      <c r="A120" s="7" t="s">
        <v>126</v>
      </c>
      <c r="B120" s="7" t="s">
        <v>338</v>
      </c>
      <c r="C120" s="7" t="s">
        <v>338</v>
      </c>
      <c r="D120" s="7" t="s">
        <v>338</v>
      </c>
    </row>
    <row r="121" spans="1:4" x14ac:dyDescent="0.35">
      <c r="A121" s="7" t="s">
        <v>127</v>
      </c>
      <c r="B121" s="7" t="s">
        <v>338</v>
      </c>
      <c r="C121" s="7" t="s">
        <v>338</v>
      </c>
      <c r="D121" s="7" t="s">
        <v>338</v>
      </c>
    </row>
    <row r="122" spans="1:4" x14ac:dyDescent="0.35">
      <c r="A122" s="7" t="s">
        <v>128</v>
      </c>
      <c r="B122" s="7" t="s">
        <v>338</v>
      </c>
      <c r="C122" s="7" t="s">
        <v>338</v>
      </c>
      <c r="D122" s="7" t="s">
        <v>338</v>
      </c>
    </row>
    <row r="123" spans="1:4" x14ac:dyDescent="0.35">
      <c r="A123" s="7" t="s">
        <v>129</v>
      </c>
      <c r="B123" s="7" t="s">
        <v>338</v>
      </c>
      <c r="C123" s="7" t="s">
        <v>338</v>
      </c>
      <c r="D123" s="7" t="s">
        <v>338</v>
      </c>
    </row>
    <row r="124" spans="1:4" x14ac:dyDescent="0.35">
      <c r="A124" s="7" t="s">
        <v>130</v>
      </c>
      <c r="B124" s="7" t="s">
        <v>338</v>
      </c>
      <c r="C124" s="7" t="s">
        <v>338</v>
      </c>
      <c r="D124" s="7" t="s">
        <v>338</v>
      </c>
    </row>
    <row r="125" spans="1:4" x14ac:dyDescent="0.35">
      <c r="A125" s="7" t="s">
        <v>131</v>
      </c>
      <c r="B125" s="7" t="s">
        <v>338</v>
      </c>
      <c r="C125" s="7" t="s">
        <v>338</v>
      </c>
      <c r="D125" s="7" t="s">
        <v>338</v>
      </c>
    </row>
    <row r="126" spans="1:4" x14ac:dyDescent="0.35">
      <c r="A126" s="7" t="s">
        <v>132</v>
      </c>
      <c r="B126" s="7" t="s">
        <v>338</v>
      </c>
      <c r="C126" s="7" t="s">
        <v>338</v>
      </c>
      <c r="D126" s="7" t="s">
        <v>338</v>
      </c>
    </row>
    <row r="127" spans="1:4" x14ac:dyDescent="0.35">
      <c r="A127" s="7" t="s">
        <v>133</v>
      </c>
      <c r="B127" s="7" t="s">
        <v>338</v>
      </c>
      <c r="C127" s="7" t="s">
        <v>338</v>
      </c>
      <c r="D127" s="7" t="s">
        <v>338</v>
      </c>
    </row>
    <row r="128" spans="1:4" x14ac:dyDescent="0.35">
      <c r="A128" s="7" t="s">
        <v>134</v>
      </c>
      <c r="B128" s="7" t="s">
        <v>338</v>
      </c>
      <c r="C128" s="7" t="s">
        <v>338</v>
      </c>
      <c r="D128" s="7" t="s">
        <v>338</v>
      </c>
    </row>
    <row r="129" spans="1:4" x14ac:dyDescent="0.35">
      <c r="A129" s="7" t="s">
        <v>135</v>
      </c>
      <c r="B129" s="7" t="s">
        <v>338</v>
      </c>
      <c r="C129" s="7" t="s">
        <v>338</v>
      </c>
      <c r="D129" s="7" t="s">
        <v>338</v>
      </c>
    </row>
    <row r="130" spans="1:4" x14ac:dyDescent="0.35">
      <c r="A130" s="7" t="s">
        <v>136</v>
      </c>
      <c r="B130" s="7" t="s">
        <v>338</v>
      </c>
      <c r="C130" s="7" t="s">
        <v>339</v>
      </c>
      <c r="D130" s="7" t="s">
        <v>338</v>
      </c>
    </row>
    <row r="131" spans="1:4" x14ac:dyDescent="0.35">
      <c r="A131" s="7" t="s">
        <v>137</v>
      </c>
      <c r="B131" s="7" t="s">
        <v>338</v>
      </c>
      <c r="C131" s="7" t="s">
        <v>339</v>
      </c>
      <c r="D131" s="7" t="s">
        <v>338</v>
      </c>
    </row>
    <row r="132" spans="1:4" x14ac:dyDescent="0.35">
      <c r="A132" s="7" t="s">
        <v>138</v>
      </c>
      <c r="B132" s="7" t="s">
        <v>338</v>
      </c>
      <c r="C132" s="7" t="s">
        <v>338</v>
      </c>
      <c r="D132" s="7" t="s">
        <v>338</v>
      </c>
    </row>
    <row r="133" spans="1:4" x14ac:dyDescent="0.35">
      <c r="A133" s="7" t="s">
        <v>139</v>
      </c>
      <c r="B133" s="7" t="s">
        <v>338</v>
      </c>
      <c r="C133" s="7" t="s">
        <v>338</v>
      </c>
      <c r="D133" s="7" t="s">
        <v>338</v>
      </c>
    </row>
    <row r="134" spans="1:4" x14ac:dyDescent="0.35">
      <c r="A134" s="7" t="s">
        <v>140</v>
      </c>
      <c r="B134" s="7" t="s">
        <v>338</v>
      </c>
      <c r="C134" s="7" t="s">
        <v>338</v>
      </c>
      <c r="D134" s="7" t="s">
        <v>338</v>
      </c>
    </row>
    <row r="135" spans="1:4" x14ac:dyDescent="0.35">
      <c r="A135" s="7" t="s">
        <v>141</v>
      </c>
      <c r="B135" s="7" t="s">
        <v>338</v>
      </c>
      <c r="C135" s="7" t="s">
        <v>338</v>
      </c>
      <c r="D135" s="7" t="s">
        <v>338</v>
      </c>
    </row>
    <row r="136" spans="1:4" x14ac:dyDescent="0.35">
      <c r="A136" s="7" t="s">
        <v>142</v>
      </c>
      <c r="B136" s="7" t="s">
        <v>338</v>
      </c>
      <c r="C136" s="7" t="s">
        <v>338</v>
      </c>
      <c r="D136" s="7" t="s">
        <v>338</v>
      </c>
    </row>
    <row r="137" spans="1:4" x14ac:dyDescent="0.35">
      <c r="A137" s="7" t="s">
        <v>143</v>
      </c>
      <c r="B137" s="7" t="s">
        <v>338</v>
      </c>
      <c r="C137" s="7" t="s">
        <v>338</v>
      </c>
      <c r="D137" s="7" t="s">
        <v>338</v>
      </c>
    </row>
    <row r="138" spans="1:4" x14ac:dyDescent="0.35">
      <c r="A138" s="7" t="s">
        <v>144</v>
      </c>
      <c r="B138" s="7" t="s">
        <v>338</v>
      </c>
      <c r="C138" s="7" t="s">
        <v>338</v>
      </c>
      <c r="D138" s="7" t="s">
        <v>338</v>
      </c>
    </row>
    <row r="139" spans="1:4" x14ac:dyDescent="0.35">
      <c r="A139" s="7" t="s">
        <v>145</v>
      </c>
      <c r="B139" s="7" t="s">
        <v>338</v>
      </c>
      <c r="C139" s="7" t="s">
        <v>338</v>
      </c>
      <c r="D139" s="7" t="s">
        <v>338</v>
      </c>
    </row>
    <row r="140" spans="1:4" x14ac:dyDescent="0.35">
      <c r="A140" s="7" t="s">
        <v>146</v>
      </c>
      <c r="B140" s="7" t="s">
        <v>338</v>
      </c>
      <c r="C140" s="7" t="s">
        <v>338</v>
      </c>
      <c r="D140" s="7" t="s">
        <v>338</v>
      </c>
    </row>
    <row r="141" spans="1:4" x14ac:dyDescent="0.35">
      <c r="A141" s="7" t="s">
        <v>147</v>
      </c>
      <c r="B141" s="7" t="s">
        <v>338</v>
      </c>
      <c r="C141" s="7" t="s">
        <v>338</v>
      </c>
      <c r="D141" s="7" t="s">
        <v>338</v>
      </c>
    </row>
    <row r="142" spans="1:4" x14ac:dyDescent="0.35">
      <c r="A142" s="7" t="s">
        <v>148</v>
      </c>
      <c r="B142" s="7" t="s">
        <v>338</v>
      </c>
      <c r="C142" s="7" t="s">
        <v>338</v>
      </c>
      <c r="D142" s="7" t="s">
        <v>338</v>
      </c>
    </row>
    <row r="143" spans="1:4" x14ac:dyDescent="0.35">
      <c r="A143" s="7" t="s">
        <v>149</v>
      </c>
      <c r="B143" s="7" t="s">
        <v>338</v>
      </c>
      <c r="C143" s="7" t="s">
        <v>339</v>
      </c>
      <c r="D143" s="7" t="s">
        <v>338</v>
      </c>
    </row>
    <row r="144" spans="1:4" x14ac:dyDescent="0.35">
      <c r="A144" s="7" t="s">
        <v>150</v>
      </c>
      <c r="B144" s="7" t="s">
        <v>338</v>
      </c>
      <c r="C144" s="7" t="s">
        <v>338</v>
      </c>
      <c r="D144" s="7" t="s">
        <v>338</v>
      </c>
    </row>
    <row r="145" spans="1:4" x14ac:dyDescent="0.35">
      <c r="A145" s="7" t="s">
        <v>151</v>
      </c>
      <c r="B145" s="7" t="s">
        <v>338</v>
      </c>
      <c r="C145" s="7" t="s">
        <v>338</v>
      </c>
      <c r="D145" s="7" t="s">
        <v>338</v>
      </c>
    </row>
    <row r="146" spans="1:4" x14ac:dyDescent="0.35">
      <c r="A146" s="7" t="s">
        <v>152</v>
      </c>
      <c r="B146" s="7" t="s">
        <v>338</v>
      </c>
      <c r="C146" s="7" t="s">
        <v>338</v>
      </c>
      <c r="D146" s="7" t="s">
        <v>338</v>
      </c>
    </row>
    <row r="147" spans="1:4" x14ac:dyDescent="0.35">
      <c r="A147" s="7" t="s">
        <v>153</v>
      </c>
      <c r="B147" s="7" t="s">
        <v>338</v>
      </c>
      <c r="C147" s="7" t="s">
        <v>338</v>
      </c>
      <c r="D147" s="7" t="s">
        <v>338</v>
      </c>
    </row>
    <row r="148" spans="1:4" x14ac:dyDescent="0.35">
      <c r="A148" s="7" t="s">
        <v>154</v>
      </c>
      <c r="B148" s="7" t="s">
        <v>338</v>
      </c>
      <c r="C148" s="7" t="s">
        <v>338</v>
      </c>
      <c r="D148" s="7" t="s">
        <v>338</v>
      </c>
    </row>
    <row r="149" spans="1:4" x14ac:dyDescent="0.35">
      <c r="A149" s="7" t="s">
        <v>155</v>
      </c>
      <c r="B149" s="7" t="s">
        <v>338</v>
      </c>
      <c r="C149" s="7" t="s">
        <v>338</v>
      </c>
      <c r="D149" s="7" t="s">
        <v>338</v>
      </c>
    </row>
    <row r="150" spans="1:4" x14ac:dyDescent="0.35">
      <c r="A150" s="7" t="s">
        <v>156</v>
      </c>
      <c r="B150" s="7" t="s">
        <v>338</v>
      </c>
      <c r="C150" s="7" t="s">
        <v>338</v>
      </c>
      <c r="D150" s="7" t="s">
        <v>338</v>
      </c>
    </row>
    <row r="151" spans="1:4" x14ac:dyDescent="0.35">
      <c r="A151" s="7" t="s">
        <v>157</v>
      </c>
      <c r="B151" s="7" t="s">
        <v>338</v>
      </c>
      <c r="C151" s="7" t="s">
        <v>338</v>
      </c>
      <c r="D151" s="7" t="s">
        <v>338</v>
      </c>
    </row>
    <row r="152" spans="1:4" x14ac:dyDescent="0.35">
      <c r="A152" s="7" t="s">
        <v>158</v>
      </c>
      <c r="B152" s="7" t="s">
        <v>338</v>
      </c>
      <c r="C152" s="7" t="s">
        <v>338</v>
      </c>
      <c r="D152" s="7" t="s">
        <v>338</v>
      </c>
    </row>
    <row r="153" spans="1:4" x14ac:dyDescent="0.35">
      <c r="A153" s="7" t="s">
        <v>159</v>
      </c>
      <c r="B153" s="7" t="s">
        <v>338</v>
      </c>
      <c r="C153" s="7" t="s">
        <v>338</v>
      </c>
      <c r="D153" s="7" t="s">
        <v>338</v>
      </c>
    </row>
    <row r="154" spans="1:4" x14ac:dyDescent="0.35">
      <c r="A154" s="7" t="s">
        <v>160</v>
      </c>
      <c r="B154" s="7" t="s">
        <v>338</v>
      </c>
      <c r="C154" s="7" t="s">
        <v>338</v>
      </c>
      <c r="D154" s="7" t="s">
        <v>338</v>
      </c>
    </row>
    <row r="155" spans="1:4" x14ac:dyDescent="0.35">
      <c r="A155" s="7" t="s">
        <v>161</v>
      </c>
      <c r="B155" s="7" t="s">
        <v>338</v>
      </c>
      <c r="C155" s="7" t="s">
        <v>338</v>
      </c>
      <c r="D155" s="7" t="s">
        <v>338</v>
      </c>
    </row>
    <row r="156" spans="1:4" x14ac:dyDescent="0.35">
      <c r="A156" s="7" t="s">
        <v>162</v>
      </c>
      <c r="B156" s="7" t="s">
        <v>338</v>
      </c>
      <c r="C156" s="7" t="s">
        <v>338</v>
      </c>
      <c r="D156" s="7" t="s">
        <v>338</v>
      </c>
    </row>
    <row r="157" spans="1:4" x14ac:dyDescent="0.35">
      <c r="A157" s="7" t="s">
        <v>163</v>
      </c>
      <c r="B157" s="7" t="s">
        <v>338</v>
      </c>
      <c r="C157" s="7" t="s">
        <v>338</v>
      </c>
      <c r="D157" s="7" t="s">
        <v>338</v>
      </c>
    </row>
    <row r="158" spans="1:4" x14ac:dyDescent="0.35">
      <c r="A158" s="7" t="s">
        <v>164</v>
      </c>
      <c r="B158" s="7" t="s">
        <v>338</v>
      </c>
      <c r="C158" s="7" t="s">
        <v>338</v>
      </c>
      <c r="D158" s="7" t="s">
        <v>338</v>
      </c>
    </row>
    <row r="159" spans="1:4" x14ac:dyDescent="0.35">
      <c r="A159" s="7" t="s">
        <v>165</v>
      </c>
      <c r="B159" s="7" t="s">
        <v>338</v>
      </c>
      <c r="C159" s="7" t="s">
        <v>338</v>
      </c>
      <c r="D159" s="7" t="s">
        <v>338</v>
      </c>
    </row>
    <row r="160" spans="1:4" x14ac:dyDescent="0.35">
      <c r="A160" s="7" t="s">
        <v>166</v>
      </c>
      <c r="B160" s="7" t="s">
        <v>338</v>
      </c>
      <c r="C160" s="7" t="s">
        <v>338</v>
      </c>
      <c r="D160" s="7" t="s">
        <v>338</v>
      </c>
    </row>
    <row r="161" spans="1:4" x14ac:dyDescent="0.35">
      <c r="A161" s="7" t="s">
        <v>167</v>
      </c>
      <c r="B161" s="7" t="s">
        <v>338</v>
      </c>
      <c r="C161" s="7" t="s">
        <v>338</v>
      </c>
      <c r="D161" s="7" t="s">
        <v>338</v>
      </c>
    </row>
    <row r="162" spans="1:4" x14ac:dyDescent="0.35">
      <c r="A162" s="7" t="s">
        <v>168</v>
      </c>
      <c r="B162" s="7" t="s">
        <v>338</v>
      </c>
      <c r="C162" s="7" t="s">
        <v>338</v>
      </c>
      <c r="D162" s="7" t="s">
        <v>338</v>
      </c>
    </row>
    <row r="163" spans="1:4" x14ac:dyDescent="0.35">
      <c r="A163" s="7" t="s">
        <v>169</v>
      </c>
      <c r="B163" s="7" t="s">
        <v>338</v>
      </c>
      <c r="C163" s="7" t="s">
        <v>338</v>
      </c>
      <c r="D163" s="7" t="s">
        <v>338</v>
      </c>
    </row>
    <row r="164" spans="1:4" x14ac:dyDescent="0.35">
      <c r="A164" s="7" t="s">
        <v>170</v>
      </c>
      <c r="B164" s="7" t="s">
        <v>338</v>
      </c>
      <c r="C164" s="7" t="s">
        <v>338</v>
      </c>
      <c r="D164" s="7" t="s">
        <v>338</v>
      </c>
    </row>
    <row r="165" spans="1:4" x14ac:dyDescent="0.35">
      <c r="A165" s="7" t="s">
        <v>171</v>
      </c>
      <c r="B165" s="7" t="s">
        <v>338</v>
      </c>
      <c r="C165" s="7" t="s">
        <v>338</v>
      </c>
      <c r="D165" s="7" t="s">
        <v>338</v>
      </c>
    </row>
    <row r="166" spans="1:4" x14ac:dyDescent="0.35">
      <c r="A166" s="7" t="s">
        <v>172</v>
      </c>
      <c r="B166" s="7" t="s">
        <v>338</v>
      </c>
      <c r="C166" s="7" t="s">
        <v>338</v>
      </c>
      <c r="D166" s="7" t="s">
        <v>338</v>
      </c>
    </row>
    <row r="167" spans="1:4" x14ac:dyDescent="0.35">
      <c r="A167" s="7" t="s">
        <v>173</v>
      </c>
      <c r="B167" s="7" t="s">
        <v>338</v>
      </c>
      <c r="C167" s="7" t="s">
        <v>338</v>
      </c>
      <c r="D167" s="7" t="s">
        <v>338</v>
      </c>
    </row>
    <row r="168" spans="1:4" x14ac:dyDescent="0.35">
      <c r="A168" s="7" t="s">
        <v>174</v>
      </c>
      <c r="B168" s="7" t="s">
        <v>338</v>
      </c>
      <c r="C168" s="7" t="s">
        <v>338</v>
      </c>
      <c r="D168" s="7" t="s">
        <v>338</v>
      </c>
    </row>
    <row r="169" spans="1:4" x14ac:dyDescent="0.35">
      <c r="A169" s="7" t="s">
        <v>175</v>
      </c>
      <c r="B169" s="7" t="s">
        <v>338</v>
      </c>
      <c r="C169" s="7" t="s">
        <v>338</v>
      </c>
      <c r="D169" s="7" t="s">
        <v>338</v>
      </c>
    </row>
    <row r="170" spans="1:4" x14ac:dyDescent="0.35">
      <c r="A170" s="7" t="s">
        <v>176</v>
      </c>
      <c r="B170" s="7" t="s">
        <v>338</v>
      </c>
      <c r="C170" s="7" t="s">
        <v>339</v>
      </c>
      <c r="D170" s="7" t="s">
        <v>338</v>
      </c>
    </row>
    <row r="171" spans="1:4" x14ac:dyDescent="0.35">
      <c r="A171" s="7" t="s">
        <v>177</v>
      </c>
      <c r="B171" s="7" t="s">
        <v>338</v>
      </c>
      <c r="C171" s="7" t="s">
        <v>338</v>
      </c>
      <c r="D171" s="7" t="s">
        <v>338</v>
      </c>
    </row>
    <row r="172" spans="1:4" x14ac:dyDescent="0.35">
      <c r="A172" s="7" t="s">
        <v>178</v>
      </c>
      <c r="B172" s="7" t="s">
        <v>338</v>
      </c>
      <c r="C172" s="7" t="s">
        <v>338</v>
      </c>
      <c r="D172" s="7" t="s">
        <v>338</v>
      </c>
    </row>
    <row r="173" spans="1:4" x14ac:dyDescent="0.35">
      <c r="A173" s="7" t="s">
        <v>179</v>
      </c>
      <c r="B173" s="7" t="s">
        <v>338</v>
      </c>
      <c r="C173" s="7" t="s">
        <v>338</v>
      </c>
      <c r="D173" s="7" t="s">
        <v>338</v>
      </c>
    </row>
    <row r="174" spans="1:4" x14ac:dyDescent="0.35">
      <c r="A174" s="7" t="s">
        <v>180</v>
      </c>
      <c r="B174" s="7" t="s">
        <v>338</v>
      </c>
      <c r="C174" s="7" t="s">
        <v>338</v>
      </c>
      <c r="D174" s="7" t="s">
        <v>338</v>
      </c>
    </row>
    <row r="175" spans="1:4" x14ac:dyDescent="0.35">
      <c r="A175" s="7" t="s">
        <v>181</v>
      </c>
      <c r="B175" s="7" t="s">
        <v>338</v>
      </c>
      <c r="C175" s="7" t="s">
        <v>338</v>
      </c>
      <c r="D175" s="7" t="s">
        <v>338</v>
      </c>
    </row>
    <row r="176" spans="1:4" x14ac:dyDescent="0.35">
      <c r="A176" s="7" t="s">
        <v>182</v>
      </c>
      <c r="B176" s="7" t="s">
        <v>338</v>
      </c>
      <c r="C176" s="7" t="s">
        <v>338</v>
      </c>
      <c r="D176" s="7" t="s">
        <v>338</v>
      </c>
    </row>
    <row r="177" spans="1:4" x14ac:dyDescent="0.35">
      <c r="A177" s="7" t="s">
        <v>183</v>
      </c>
      <c r="B177" s="7" t="s">
        <v>338</v>
      </c>
      <c r="C177" s="7" t="s">
        <v>338</v>
      </c>
      <c r="D177" s="7" t="s">
        <v>338</v>
      </c>
    </row>
    <row r="178" spans="1:4" x14ac:dyDescent="0.35">
      <c r="A178" s="7" t="s">
        <v>184</v>
      </c>
      <c r="B178" s="7" t="s">
        <v>338</v>
      </c>
      <c r="C178" s="7" t="s">
        <v>338</v>
      </c>
      <c r="D178" s="7" t="s">
        <v>338</v>
      </c>
    </row>
    <row r="179" spans="1:4" x14ac:dyDescent="0.35">
      <c r="A179" s="7" t="s">
        <v>185</v>
      </c>
      <c r="B179" s="7" t="s">
        <v>338</v>
      </c>
      <c r="C179" s="7" t="s">
        <v>338</v>
      </c>
      <c r="D179" s="7" t="s">
        <v>338</v>
      </c>
    </row>
    <row r="180" spans="1:4" x14ac:dyDescent="0.35">
      <c r="A180" s="7" t="s">
        <v>186</v>
      </c>
      <c r="B180" s="7" t="s">
        <v>338</v>
      </c>
      <c r="C180" s="7" t="s">
        <v>338</v>
      </c>
      <c r="D180" s="7" t="s">
        <v>338</v>
      </c>
    </row>
    <row r="181" spans="1:4" x14ac:dyDescent="0.35">
      <c r="A181" s="7" t="s">
        <v>187</v>
      </c>
      <c r="B181" s="7" t="s">
        <v>338</v>
      </c>
      <c r="C181" s="7" t="s">
        <v>338</v>
      </c>
      <c r="D181" s="7" t="s">
        <v>338</v>
      </c>
    </row>
    <row r="182" spans="1:4" x14ac:dyDescent="0.35">
      <c r="A182" s="7" t="s">
        <v>188</v>
      </c>
      <c r="B182" s="7" t="s">
        <v>338</v>
      </c>
      <c r="C182" s="7" t="s">
        <v>338</v>
      </c>
      <c r="D182" s="7" t="s">
        <v>338</v>
      </c>
    </row>
    <row r="183" spans="1:4" x14ac:dyDescent="0.35">
      <c r="A183" s="7" t="s">
        <v>189</v>
      </c>
      <c r="B183" s="7" t="s">
        <v>338</v>
      </c>
      <c r="C183" s="7" t="s">
        <v>338</v>
      </c>
      <c r="D183" s="7" t="s">
        <v>338</v>
      </c>
    </row>
    <row r="184" spans="1:4" x14ac:dyDescent="0.35">
      <c r="A184" s="7" t="s">
        <v>190</v>
      </c>
      <c r="B184" s="7" t="s">
        <v>338</v>
      </c>
      <c r="C184" s="7" t="s">
        <v>338</v>
      </c>
      <c r="D184" s="7" t="s">
        <v>338</v>
      </c>
    </row>
    <row r="185" spans="1:4" x14ac:dyDescent="0.35">
      <c r="A185" s="7" t="s">
        <v>191</v>
      </c>
      <c r="B185" s="7" t="s">
        <v>338</v>
      </c>
      <c r="C185" s="7" t="s">
        <v>338</v>
      </c>
      <c r="D185" s="7" t="s">
        <v>338</v>
      </c>
    </row>
    <row r="186" spans="1:4" x14ac:dyDescent="0.35">
      <c r="A186" s="7" t="s">
        <v>192</v>
      </c>
      <c r="B186" s="7" t="s">
        <v>338</v>
      </c>
      <c r="C186" s="7" t="s">
        <v>338</v>
      </c>
      <c r="D186" s="7" t="s">
        <v>338</v>
      </c>
    </row>
    <row r="187" spans="1:4" x14ac:dyDescent="0.35">
      <c r="A187" s="7" t="s">
        <v>193</v>
      </c>
      <c r="B187" s="7" t="s">
        <v>338</v>
      </c>
      <c r="C187" s="7" t="s">
        <v>338</v>
      </c>
      <c r="D187" s="7" t="s">
        <v>338</v>
      </c>
    </row>
    <row r="188" spans="1:4" x14ac:dyDescent="0.35">
      <c r="A188" s="7" t="s">
        <v>194</v>
      </c>
      <c r="B188" s="7" t="s">
        <v>338</v>
      </c>
      <c r="C188" s="7" t="s">
        <v>339</v>
      </c>
      <c r="D188" s="7" t="s">
        <v>338</v>
      </c>
    </row>
    <row r="189" spans="1:4" x14ac:dyDescent="0.35">
      <c r="A189" s="7" t="s">
        <v>195</v>
      </c>
      <c r="B189" s="7" t="s">
        <v>339</v>
      </c>
      <c r="C189" s="7" t="s">
        <v>338</v>
      </c>
      <c r="D189" s="7" t="s">
        <v>338</v>
      </c>
    </row>
    <row r="190" spans="1:4" x14ac:dyDescent="0.35">
      <c r="A190" s="7" t="s">
        <v>196</v>
      </c>
      <c r="B190" s="7" t="s">
        <v>338</v>
      </c>
      <c r="C190" s="7" t="s">
        <v>338</v>
      </c>
      <c r="D190" s="7" t="s">
        <v>338</v>
      </c>
    </row>
    <row r="191" spans="1:4" x14ac:dyDescent="0.35">
      <c r="A191" s="7" t="s">
        <v>197</v>
      </c>
      <c r="B191" s="7" t="s">
        <v>338</v>
      </c>
      <c r="C191" s="7" t="s">
        <v>338</v>
      </c>
      <c r="D191" s="7" t="s">
        <v>338</v>
      </c>
    </row>
    <row r="192" spans="1:4" x14ac:dyDescent="0.35">
      <c r="A192" s="7" t="s">
        <v>198</v>
      </c>
      <c r="B192" s="7" t="s">
        <v>338</v>
      </c>
      <c r="C192" s="7" t="s">
        <v>338</v>
      </c>
      <c r="D192" s="7" t="s">
        <v>338</v>
      </c>
    </row>
    <row r="193" spans="1:4" x14ac:dyDescent="0.35">
      <c r="A193" s="7" t="s">
        <v>199</v>
      </c>
      <c r="B193" s="7" t="s">
        <v>338</v>
      </c>
      <c r="C193" s="7" t="s">
        <v>338</v>
      </c>
      <c r="D193" s="7" t="s">
        <v>338</v>
      </c>
    </row>
    <row r="194" spans="1:4" x14ac:dyDescent="0.35">
      <c r="A194" s="7" t="s">
        <v>200</v>
      </c>
      <c r="B194" s="7" t="s">
        <v>338</v>
      </c>
      <c r="C194" s="7" t="s">
        <v>338</v>
      </c>
      <c r="D194" s="7" t="s">
        <v>338</v>
      </c>
    </row>
    <row r="195" spans="1:4" x14ac:dyDescent="0.35">
      <c r="A195" s="7" t="s">
        <v>201</v>
      </c>
      <c r="B195" s="7" t="s">
        <v>338</v>
      </c>
      <c r="C195" s="7" t="s">
        <v>338</v>
      </c>
      <c r="D195" s="7" t="s">
        <v>338</v>
      </c>
    </row>
    <row r="196" spans="1:4" x14ac:dyDescent="0.35">
      <c r="A196" s="7" t="s">
        <v>202</v>
      </c>
      <c r="B196" s="7" t="s">
        <v>338</v>
      </c>
      <c r="C196" s="7" t="s">
        <v>338</v>
      </c>
      <c r="D196" s="7" t="s">
        <v>338</v>
      </c>
    </row>
    <row r="197" spans="1:4" x14ac:dyDescent="0.35">
      <c r="A197" s="7" t="s">
        <v>203</v>
      </c>
      <c r="B197" s="7" t="s">
        <v>338</v>
      </c>
      <c r="C197" s="7" t="s">
        <v>338</v>
      </c>
      <c r="D197" s="7" t="s">
        <v>338</v>
      </c>
    </row>
    <row r="198" spans="1:4" x14ac:dyDescent="0.35">
      <c r="A198" s="7" t="s">
        <v>204</v>
      </c>
      <c r="B198" s="7" t="s">
        <v>338</v>
      </c>
      <c r="C198" s="7" t="s">
        <v>338</v>
      </c>
      <c r="D198" s="7" t="s">
        <v>338</v>
      </c>
    </row>
    <row r="199" spans="1:4" x14ac:dyDescent="0.35">
      <c r="A199" s="7" t="s">
        <v>205</v>
      </c>
      <c r="B199" s="7" t="s">
        <v>338</v>
      </c>
      <c r="C199" s="7" t="s">
        <v>338</v>
      </c>
      <c r="D199" s="7" t="s">
        <v>338</v>
      </c>
    </row>
    <row r="200" spans="1:4" x14ac:dyDescent="0.35">
      <c r="A200" s="7" t="s">
        <v>206</v>
      </c>
      <c r="B200" s="7" t="s">
        <v>338</v>
      </c>
      <c r="C200" s="7" t="s">
        <v>338</v>
      </c>
      <c r="D200" s="7" t="s">
        <v>338</v>
      </c>
    </row>
    <row r="201" spans="1:4" x14ac:dyDescent="0.35">
      <c r="A201" s="7" t="s">
        <v>207</v>
      </c>
      <c r="B201" s="7" t="s">
        <v>338</v>
      </c>
      <c r="C201" s="7" t="s">
        <v>338</v>
      </c>
      <c r="D201" s="7" t="s">
        <v>338</v>
      </c>
    </row>
    <row r="202" spans="1:4" x14ac:dyDescent="0.35">
      <c r="A202" s="7" t="s">
        <v>208</v>
      </c>
      <c r="B202" s="7" t="s">
        <v>338</v>
      </c>
      <c r="C202" s="7" t="s">
        <v>338</v>
      </c>
      <c r="D202" s="7" t="s">
        <v>338</v>
      </c>
    </row>
    <row r="203" spans="1:4" x14ac:dyDescent="0.35">
      <c r="A203" s="7" t="s">
        <v>209</v>
      </c>
      <c r="B203" s="7" t="s">
        <v>338</v>
      </c>
      <c r="C203" s="7" t="s">
        <v>338</v>
      </c>
      <c r="D203" s="7" t="s">
        <v>338</v>
      </c>
    </row>
    <row r="204" spans="1:4" x14ac:dyDescent="0.35">
      <c r="A204" s="7" t="s">
        <v>210</v>
      </c>
      <c r="B204" s="7" t="s">
        <v>338</v>
      </c>
      <c r="C204" s="7" t="s">
        <v>338</v>
      </c>
      <c r="D204" s="7" t="s">
        <v>338</v>
      </c>
    </row>
    <row r="205" spans="1:4" x14ac:dyDescent="0.35">
      <c r="A205" s="7" t="s">
        <v>211</v>
      </c>
      <c r="B205" s="7" t="s">
        <v>338</v>
      </c>
      <c r="C205" s="7" t="s">
        <v>338</v>
      </c>
      <c r="D205" s="7" t="s">
        <v>338</v>
      </c>
    </row>
    <row r="206" spans="1:4" x14ac:dyDescent="0.35">
      <c r="A206" s="7" t="s">
        <v>212</v>
      </c>
      <c r="B206" s="7" t="s">
        <v>338</v>
      </c>
      <c r="C206" s="7" t="s">
        <v>338</v>
      </c>
      <c r="D206" s="7" t="s">
        <v>338</v>
      </c>
    </row>
    <row r="207" spans="1:4" x14ac:dyDescent="0.35">
      <c r="A207" s="7" t="s">
        <v>213</v>
      </c>
      <c r="B207" s="7" t="s">
        <v>338</v>
      </c>
      <c r="C207" s="7" t="s">
        <v>338</v>
      </c>
      <c r="D207" s="7" t="s">
        <v>338</v>
      </c>
    </row>
    <row r="208" spans="1:4" x14ac:dyDescent="0.35">
      <c r="A208" s="7" t="s">
        <v>214</v>
      </c>
      <c r="B208" s="7" t="s">
        <v>338</v>
      </c>
      <c r="C208" s="7" t="s">
        <v>338</v>
      </c>
      <c r="D208" s="7" t="s">
        <v>338</v>
      </c>
    </row>
    <row r="209" spans="1:4" x14ac:dyDescent="0.35">
      <c r="A209" s="7" t="s">
        <v>215</v>
      </c>
      <c r="B209" s="7" t="s">
        <v>338</v>
      </c>
      <c r="C209" s="7" t="s">
        <v>338</v>
      </c>
      <c r="D209" s="7" t="s">
        <v>338</v>
      </c>
    </row>
    <row r="210" spans="1:4" x14ac:dyDescent="0.35">
      <c r="A210" s="7" t="s">
        <v>216</v>
      </c>
      <c r="B210" s="7" t="s">
        <v>338</v>
      </c>
      <c r="C210" s="7" t="s">
        <v>338</v>
      </c>
      <c r="D210" s="7" t="s">
        <v>338</v>
      </c>
    </row>
    <row r="211" spans="1:4" x14ac:dyDescent="0.35">
      <c r="A211" s="7" t="s">
        <v>217</v>
      </c>
      <c r="B211" s="7" t="s">
        <v>338</v>
      </c>
      <c r="C211" s="7" t="s">
        <v>339</v>
      </c>
      <c r="D211" s="7" t="s">
        <v>338</v>
      </c>
    </row>
    <row r="212" spans="1:4" x14ac:dyDescent="0.35">
      <c r="A212" s="7" t="s">
        <v>218</v>
      </c>
      <c r="B212" s="7" t="s">
        <v>338</v>
      </c>
      <c r="C212" s="7" t="s">
        <v>338</v>
      </c>
      <c r="D212" s="7" t="s">
        <v>338</v>
      </c>
    </row>
    <row r="213" spans="1:4" x14ac:dyDescent="0.35">
      <c r="A213" s="7" t="s">
        <v>219</v>
      </c>
      <c r="B213" s="7" t="s">
        <v>338</v>
      </c>
      <c r="C213" s="7" t="s">
        <v>338</v>
      </c>
      <c r="D213" s="7" t="s">
        <v>338</v>
      </c>
    </row>
    <row r="214" spans="1:4" x14ac:dyDescent="0.35">
      <c r="A214" s="7" t="s">
        <v>220</v>
      </c>
      <c r="B214" s="7" t="s">
        <v>338</v>
      </c>
      <c r="C214" s="7" t="s">
        <v>338</v>
      </c>
      <c r="D214" s="7" t="s">
        <v>338</v>
      </c>
    </row>
    <row r="215" spans="1:4" x14ac:dyDescent="0.35">
      <c r="A215" s="7" t="s">
        <v>221</v>
      </c>
      <c r="B215" s="7" t="s">
        <v>338</v>
      </c>
      <c r="C215" s="7" t="s">
        <v>338</v>
      </c>
      <c r="D215" s="7" t="s">
        <v>338</v>
      </c>
    </row>
    <row r="216" spans="1:4" x14ac:dyDescent="0.35">
      <c r="A216" s="7" t="s">
        <v>222</v>
      </c>
      <c r="B216" s="7" t="s">
        <v>338</v>
      </c>
      <c r="C216" s="7" t="s">
        <v>338</v>
      </c>
      <c r="D216" s="7" t="s">
        <v>338</v>
      </c>
    </row>
    <row r="217" spans="1:4" x14ac:dyDescent="0.35">
      <c r="A217" s="7" t="s">
        <v>223</v>
      </c>
      <c r="B217" s="7" t="s">
        <v>338</v>
      </c>
      <c r="C217" s="7" t="s">
        <v>338</v>
      </c>
      <c r="D217" s="7" t="s">
        <v>338</v>
      </c>
    </row>
    <row r="218" spans="1:4" x14ac:dyDescent="0.35">
      <c r="A218" s="7" t="s">
        <v>224</v>
      </c>
      <c r="B218" s="7" t="s">
        <v>338</v>
      </c>
      <c r="C218" s="7" t="s">
        <v>338</v>
      </c>
      <c r="D218" s="7" t="s">
        <v>338</v>
      </c>
    </row>
    <row r="219" spans="1:4" x14ac:dyDescent="0.35">
      <c r="A219" s="7" t="s">
        <v>225</v>
      </c>
      <c r="B219" s="7" t="s">
        <v>339</v>
      </c>
      <c r="C219" s="7" t="s">
        <v>338</v>
      </c>
      <c r="D219" s="7" t="s">
        <v>338</v>
      </c>
    </row>
    <row r="220" spans="1:4" x14ac:dyDescent="0.35">
      <c r="A220" s="7" t="s">
        <v>226</v>
      </c>
      <c r="B220" s="7" t="s">
        <v>338</v>
      </c>
      <c r="C220" s="7" t="s">
        <v>338</v>
      </c>
      <c r="D220" s="7" t="s">
        <v>339</v>
      </c>
    </row>
    <row r="221" spans="1:4" x14ac:dyDescent="0.35">
      <c r="A221" s="7" t="s">
        <v>227</v>
      </c>
      <c r="B221" s="7" t="s">
        <v>338</v>
      </c>
      <c r="C221" s="7" t="s">
        <v>338</v>
      </c>
      <c r="D221" s="7" t="s">
        <v>338</v>
      </c>
    </row>
    <row r="222" spans="1:4" x14ac:dyDescent="0.35">
      <c r="A222" s="7" t="s">
        <v>228</v>
      </c>
      <c r="B222" s="7" t="s">
        <v>338</v>
      </c>
      <c r="C222" s="7" t="s">
        <v>338</v>
      </c>
      <c r="D222" s="7" t="s">
        <v>338</v>
      </c>
    </row>
    <row r="223" spans="1:4" x14ac:dyDescent="0.35">
      <c r="A223" s="7" t="s">
        <v>229</v>
      </c>
      <c r="B223" s="7" t="s">
        <v>338</v>
      </c>
      <c r="C223" s="7" t="s">
        <v>338</v>
      </c>
      <c r="D223" s="7" t="s">
        <v>338</v>
      </c>
    </row>
    <row r="224" spans="1:4" x14ac:dyDescent="0.35">
      <c r="A224" s="7" t="s">
        <v>230</v>
      </c>
      <c r="B224" s="7" t="s">
        <v>338</v>
      </c>
      <c r="C224" s="7" t="s">
        <v>338</v>
      </c>
      <c r="D224" s="7" t="s">
        <v>338</v>
      </c>
    </row>
    <row r="225" spans="1:4" x14ac:dyDescent="0.35">
      <c r="A225" s="7" t="s">
        <v>231</v>
      </c>
      <c r="B225" s="7" t="s">
        <v>338</v>
      </c>
      <c r="C225" s="7" t="s">
        <v>338</v>
      </c>
      <c r="D225" s="7" t="s">
        <v>338</v>
      </c>
    </row>
    <row r="226" spans="1:4" x14ac:dyDescent="0.35">
      <c r="A226" s="7" t="s">
        <v>232</v>
      </c>
      <c r="B226" s="7" t="s">
        <v>338</v>
      </c>
      <c r="C226" s="7" t="s">
        <v>338</v>
      </c>
      <c r="D226" s="7" t="s">
        <v>338</v>
      </c>
    </row>
    <row r="227" spans="1:4" x14ac:dyDescent="0.35">
      <c r="A227" s="7" t="s">
        <v>233</v>
      </c>
      <c r="B227" s="7" t="s">
        <v>338</v>
      </c>
      <c r="C227" s="7" t="s">
        <v>338</v>
      </c>
      <c r="D227" s="7" t="s">
        <v>338</v>
      </c>
    </row>
    <row r="228" spans="1:4" x14ac:dyDescent="0.35">
      <c r="A228" s="7" t="s">
        <v>234</v>
      </c>
      <c r="B228" s="7" t="s">
        <v>338</v>
      </c>
      <c r="C228" s="7" t="s">
        <v>338</v>
      </c>
      <c r="D228" s="7" t="s">
        <v>338</v>
      </c>
    </row>
    <row r="229" spans="1:4" x14ac:dyDescent="0.35">
      <c r="A229" s="7" t="s">
        <v>235</v>
      </c>
      <c r="B229" s="7" t="s">
        <v>338</v>
      </c>
      <c r="C229" s="7" t="s">
        <v>338</v>
      </c>
      <c r="D229" s="7" t="s">
        <v>338</v>
      </c>
    </row>
    <row r="230" spans="1:4" x14ac:dyDescent="0.35">
      <c r="A230" s="7" t="s">
        <v>236</v>
      </c>
      <c r="B230" s="7" t="s">
        <v>338</v>
      </c>
      <c r="C230" s="7" t="s">
        <v>338</v>
      </c>
      <c r="D230" s="7" t="s">
        <v>338</v>
      </c>
    </row>
    <row r="231" spans="1:4" x14ac:dyDescent="0.35">
      <c r="A231" s="7" t="s">
        <v>237</v>
      </c>
      <c r="B231" s="7" t="s">
        <v>338</v>
      </c>
      <c r="C231" s="7" t="s">
        <v>338</v>
      </c>
      <c r="D231" s="7" t="s">
        <v>338</v>
      </c>
    </row>
    <row r="232" spans="1:4" x14ac:dyDescent="0.35">
      <c r="A232" s="7" t="s">
        <v>238</v>
      </c>
      <c r="B232" s="7" t="s">
        <v>338</v>
      </c>
      <c r="C232" s="7" t="s">
        <v>338</v>
      </c>
      <c r="D232" s="7" t="s">
        <v>338</v>
      </c>
    </row>
    <row r="233" spans="1:4" x14ac:dyDescent="0.35">
      <c r="A233" s="7" t="s">
        <v>239</v>
      </c>
      <c r="B233" s="7" t="s">
        <v>338</v>
      </c>
      <c r="C233" s="7" t="s">
        <v>338</v>
      </c>
      <c r="D233" s="7" t="s">
        <v>338</v>
      </c>
    </row>
    <row r="234" spans="1:4" x14ac:dyDescent="0.35">
      <c r="A234" s="7" t="s">
        <v>240</v>
      </c>
      <c r="B234" s="7" t="s">
        <v>338</v>
      </c>
      <c r="C234" s="7" t="s">
        <v>338</v>
      </c>
      <c r="D234" s="7" t="s">
        <v>338</v>
      </c>
    </row>
    <row r="235" spans="1:4" x14ac:dyDescent="0.35">
      <c r="A235" s="7" t="s">
        <v>241</v>
      </c>
      <c r="B235" s="7" t="s">
        <v>338</v>
      </c>
      <c r="C235" s="7" t="s">
        <v>338</v>
      </c>
      <c r="D235" s="7" t="s">
        <v>338</v>
      </c>
    </row>
    <row r="236" spans="1:4" x14ac:dyDescent="0.35">
      <c r="A236" s="7" t="s">
        <v>242</v>
      </c>
      <c r="B236" s="7" t="s">
        <v>338</v>
      </c>
      <c r="C236" s="7" t="s">
        <v>338</v>
      </c>
      <c r="D236" s="7" t="s">
        <v>338</v>
      </c>
    </row>
    <row r="237" spans="1:4" x14ac:dyDescent="0.35">
      <c r="A237" s="7" t="s">
        <v>243</v>
      </c>
      <c r="B237" s="7" t="s">
        <v>338</v>
      </c>
      <c r="C237" s="7" t="s">
        <v>338</v>
      </c>
      <c r="D237" s="7" t="s">
        <v>338</v>
      </c>
    </row>
    <row r="238" spans="1:4" x14ac:dyDescent="0.35">
      <c r="A238" s="7" t="s">
        <v>244</v>
      </c>
      <c r="B238" s="7" t="s">
        <v>338</v>
      </c>
      <c r="C238" s="7" t="s">
        <v>338</v>
      </c>
      <c r="D238" s="7" t="s">
        <v>338</v>
      </c>
    </row>
    <row r="239" spans="1:4" x14ac:dyDescent="0.35">
      <c r="A239" s="7" t="s">
        <v>245</v>
      </c>
      <c r="B239" s="7" t="s">
        <v>338</v>
      </c>
      <c r="C239" s="7" t="s">
        <v>338</v>
      </c>
      <c r="D239" s="7" t="s">
        <v>338</v>
      </c>
    </row>
    <row r="240" spans="1:4" x14ac:dyDescent="0.35">
      <c r="A240" s="7" t="s">
        <v>246</v>
      </c>
      <c r="B240" s="7" t="s">
        <v>338</v>
      </c>
      <c r="C240" s="7" t="s">
        <v>338</v>
      </c>
      <c r="D240" s="7" t="s">
        <v>338</v>
      </c>
    </row>
    <row r="241" spans="1:4" x14ac:dyDescent="0.35">
      <c r="A241" s="7" t="s">
        <v>247</v>
      </c>
      <c r="B241" s="7" t="s">
        <v>338</v>
      </c>
      <c r="C241" s="7" t="s">
        <v>338</v>
      </c>
      <c r="D241" s="7" t="s">
        <v>338</v>
      </c>
    </row>
    <row r="242" spans="1:4" x14ac:dyDescent="0.35">
      <c r="A242" s="7" t="s">
        <v>248</v>
      </c>
      <c r="B242" s="7" t="s">
        <v>338</v>
      </c>
      <c r="C242" s="7" t="s">
        <v>338</v>
      </c>
      <c r="D242" s="7" t="s">
        <v>338</v>
      </c>
    </row>
    <row r="243" spans="1:4" x14ac:dyDescent="0.35">
      <c r="A243" s="7" t="s">
        <v>249</v>
      </c>
      <c r="B243" s="7" t="s">
        <v>338</v>
      </c>
      <c r="C243" s="7" t="s">
        <v>338</v>
      </c>
      <c r="D243" s="7" t="s">
        <v>338</v>
      </c>
    </row>
    <row r="244" spans="1:4" x14ac:dyDescent="0.35">
      <c r="A244" s="7" t="s">
        <v>250</v>
      </c>
      <c r="B244" s="7" t="s">
        <v>338</v>
      </c>
      <c r="C244" s="7" t="s">
        <v>338</v>
      </c>
      <c r="D244" s="7" t="s">
        <v>338</v>
      </c>
    </row>
    <row r="245" spans="1:4" x14ac:dyDescent="0.35">
      <c r="A245" s="7" t="s">
        <v>251</v>
      </c>
      <c r="B245" s="7" t="s">
        <v>338</v>
      </c>
      <c r="C245" s="7" t="s">
        <v>338</v>
      </c>
      <c r="D245" s="7" t="s">
        <v>338</v>
      </c>
    </row>
    <row r="246" spans="1:4" x14ac:dyDescent="0.35">
      <c r="A246" s="7" t="s">
        <v>252</v>
      </c>
      <c r="B246" s="7" t="s">
        <v>338</v>
      </c>
      <c r="C246" s="7" t="s">
        <v>338</v>
      </c>
      <c r="D246" s="7" t="s">
        <v>338</v>
      </c>
    </row>
    <row r="247" spans="1:4" x14ac:dyDescent="0.35">
      <c r="A247" s="7" t="s">
        <v>253</v>
      </c>
      <c r="B247" s="7" t="s">
        <v>338</v>
      </c>
      <c r="C247" s="7" t="s">
        <v>338</v>
      </c>
      <c r="D247" s="7" t="s">
        <v>338</v>
      </c>
    </row>
    <row r="248" spans="1:4" x14ac:dyDescent="0.35">
      <c r="A248" s="7" t="s">
        <v>254</v>
      </c>
      <c r="B248" s="7" t="s">
        <v>338</v>
      </c>
      <c r="C248" s="7" t="s">
        <v>338</v>
      </c>
      <c r="D248" s="7" t="s">
        <v>338</v>
      </c>
    </row>
    <row r="249" spans="1:4" x14ac:dyDescent="0.35">
      <c r="A249" s="7" t="s">
        <v>255</v>
      </c>
      <c r="B249" s="7" t="s">
        <v>338</v>
      </c>
      <c r="C249" s="7" t="s">
        <v>338</v>
      </c>
      <c r="D249" s="7" t="s">
        <v>338</v>
      </c>
    </row>
    <row r="250" spans="1:4" x14ac:dyDescent="0.35">
      <c r="A250" s="7" t="s">
        <v>256</v>
      </c>
      <c r="B250" s="7" t="s">
        <v>338</v>
      </c>
      <c r="C250" s="7" t="s">
        <v>338</v>
      </c>
      <c r="D250" s="7" t="s">
        <v>338</v>
      </c>
    </row>
    <row r="251" spans="1:4" x14ac:dyDescent="0.35">
      <c r="A251" s="7" t="s">
        <v>257</v>
      </c>
      <c r="B251" s="7" t="s">
        <v>338</v>
      </c>
      <c r="C251" s="7" t="s">
        <v>338</v>
      </c>
      <c r="D251" s="7" t="s">
        <v>338</v>
      </c>
    </row>
    <row r="252" spans="1:4" x14ac:dyDescent="0.35">
      <c r="A252" s="7" t="s">
        <v>258</v>
      </c>
      <c r="B252" s="7" t="s">
        <v>338</v>
      </c>
      <c r="C252" s="7" t="s">
        <v>338</v>
      </c>
      <c r="D252" s="7" t="s">
        <v>338</v>
      </c>
    </row>
    <row r="253" spans="1:4" x14ac:dyDescent="0.35">
      <c r="A253" s="7" t="s">
        <v>259</v>
      </c>
      <c r="B253" s="7" t="s">
        <v>338</v>
      </c>
      <c r="C253" s="7" t="s">
        <v>338</v>
      </c>
      <c r="D253" s="7" t="s">
        <v>338</v>
      </c>
    </row>
    <row r="254" spans="1:4" x14ac:dyDescent="0.35">
      <c r="A254" s="7" t="s">
        <v>260</v>
      </c>
      <c r="B254" s="7" t="s">
        <v>338</v>
      </c>
      <c r="C254" s="7" t="s">
        <v>338</v>
      </c>
      <c r="D254" s="7" t="s">
        <v>338</v>
      </c>
    </row>
    <row r="255" spans="1:4" x14ac:dyDescent="0.35">
      <c r="A255" s="7" t="s">
        <v>261</v>
      </c>
      <c r="B255" s="7" t="s">
        <v>338</v>
      </c>
      <c r="C255" s="7" t="s">
        <v>338</v>
      </c>
      <c r="D255" s="7" t="s">
        <v>338</v>
      </c>
    </row>
    <row r="256" spans="1:4" x14ac:dyDescent="0.35">
      <c r="A256" s="7" t="s">
        <v>262</v>
      </c>
      <c r="B256" s="7" t="s">
        <v>338</v>
      </c>
      <c r="C256" s="7" t="s">
        <v>338</v>
      </c>
      <c r="D256" s="7" t="s">
        <v>338</v>
      </c>
    </row>
    <row r="257" spans="1:4" x14ac:dyDescent="0.35">
      <c r="A257" s="7" t="s">
        <v>263</v>
      </c>
      <c r="B257" s="7" t="s">
        <v>338</v>
      </c>
      <c r="C257" s="7" t="s">
        <v>338</v>
      </c>
      <c r="D257" s="7" t="s">
        <v>338</v>
      </c>
    </row>
    <row r="258" spans="1:4" x14ac:dyDescent="0.35">
      <c r="A258" s="7" t="s">
        <v>264</v>
      </c>
      <c r="B258" s="7" t="s">
        <v>338</v>
      </c>
      <c r="C258" s="7" t="s">
        <v>338</v>
      </c>
      <c r="D258" s="7" t="s">
        <v>338</v>
      </c>
    </row>
    <row r="259" spans="1:4" x14ac:dyDescent="0.35">
      <c r="A259" s="7" t="s">
        <v>265</v>
      </c>
      <c r="B259" s="7" t="s">
        <v>338</v>
      </c>
      <c r="C259" s="7" t="s">
        <v>338</v>
      </c>
      <c r="D259" s="7" t="s">
        <v>338</v>
      </c>
    </row>
    <row r="260" spans="1:4" x14ac:dyDescent="0.35">
      <c r="A260" s="7" t="s">
        <v>266</v>
      </c>
      <c r="B260" s="7" t="s">
        <v>338</v>
      </c>
      <c r="C260" s="7" t="s">
        <v>338</v>
      </c>
      <c r="D260" s="7" t="s">
        <v>338</v>
      </c>
    </row>
    <row r="261" spans="1:4" x14ac:dyDescent="0.35">
      <c r="A261" s="7" t="s">
        <v>267</v>
      </c>
      <c r="B261" s="7" t="s">
        <v>338</v>
      </c>
      <c r="C261" s="7" t="s">
        <v>338</v>
      </c>
      <c r="D261" s="7" t="s">
        <v>338</v>
      </c>
    </row>
    <row r="262" spans="1:4" x14ac:dyDescent="0.35">
      <c r="A262" s="7" t="s">
        <v>268</v>
      </c>
      <c r="B262" s="7" t="s">
        <v>338</v>
      </c>
      <c r="C262" s="7" t="s">
        <v>338</v>
      </c>
      <c r="D262" s="7" t="s">
        <v>338</v>
      </c>
    </row>
    <row r="263" spans="1:4" x14ac:dyDescent="0.35">
      <c r="A263" s="7" t="s">
        <v>269</v>
      </c>
      <c r="B263" s="7" t="s">
        <v>338</v>
      </c>
      <c r="C263" s="7" t="s">
        <v>338</v>
      </c>
      <c r="D263" s="7" t="s">
        <v>338</v>
      </c>
    </row>
    <row r="264" spans="1:4" x14ac:dyDescent="0.35">
      <c r="A264" s="7" t="s">
        <v>270</v>
      </c>
      <c r="B264" s="7" t="s">
        <v>338</v>
      </c>
      <c r="C264" s="7" t="s">
        <v>338</v>
      </c>
      <c r="D264" s="7" t="s">
        <v>338</v>
      </c>
    </row>
    <row r="265" spans="1:4" x14ac:dyDescent="0.35">
      <c r="A265" s="7" t="s">
        <v>271</v>
      </c>
      <c r="B265" s="7" t="s">
        <v>338</v>
      </c>
      <c r="C265" s="7" t="s">
        <v>338</v>
      </c>
      <c r="D265" s="7" t="s">
        <v>338</v>
      </c>
    </row>
    <row r="266" spans="1:4" x14ac:dyDescent="0.35">
      <c r="A266" s="7" t="s">
        <v>272</v>
      </c>
      <c r="B266" s="7" t="s">
        <v>338</v>
      </c>
      <c r="C266" s="7" t="s">
        <v>338</v>
      </c>
      <c r="D266" s="7" t="s">
        <v>338</v>
      </c>
    </row>
    <row r="267" spans="1:4" x14ac:dyDescent="0.35">
      <c r="A267" s="7" t="s">
        <v>273</v>
      </c>
      <c r="B267" s="7" t="s">
        <v>338</v>
      </c>
      <c r="C267" s="7" t="s">
        <v>338</v>
      </c>
      <c r="D267" s="7" t="s">
        <v>338</v>
      </c>
    </row>
    <row r="268" spans="1:4" x14ac:dyDescent="0.35">
      <c r="A268" s="7" t="s">
        <v>274</v>
      </c>
      <c r="B268" s="7" t="s">
        <v>338</v>
      </c>
      <c r="C268" s="7" t="s">
        <v>338</v>
      </c>
      <c r="D268" s="7" t="s">
        <v>338</v>
      </c>
    </row>
    <row r="269" spans="1:4" x14ac:dyDescent="0.35">
      <c r="A269" s="7" t="s">
        <v>275</v>
      </c>
      <c r="B269" s="7" t="s">
        <v>338</v>
      </c>
      <c r="C269" s="7" t="s">
        <v>338</v>
      </c>
      <c r="D269" s="7" t="s">
        <v>338</v>
      </c>
    </row>
    <row r="270" spans="1:4" x14ac:dyDescent="0.35">
      <c r="A270" s="7" t="s">
        <v>276</v>
      </c>
      <c r="B270" s="7" t="s">
        <v>338</v>
      </c>
      <c r="C270" s="7" t="s">
        <v>338</v>
      </c>
      <c r="D270" s="7" t="s">
        <v>338</v>
      </c>
    </row>
    <row r="271" spans="1:4" x14ac:dyDescent="0.35">
      <c r="A271" s="7" t="s">
        <v>277</v>
      </c>
      <c r="B271" s="7" t="s">
        <v>338</v>
      </c>
      <c r="C271" s="7" t="s">
        <v>339</v>
      </c>
      <c r="D271" s="7" t="s">
        <v>338</v>
      </c>
    </row>
    <row r="272" spans="1:4" x14ac:dyDescent="0.35">
      <c r="A272" s="7" t="s">
        <v>278</v>
      </c>
      <c r="B272" s="7" t="s">
        <v>338</v>
      </c>
      <c r="C272" s="7" t="s">
        <v>338</v>
      </c>
      <c r="D272" s="7" t="s">
        <v>338</v>
      </c>
    </row>
    <row r="273" spans="1:4" x14ac:dyDescent="0.35">
      <c r="A273" s="7" t="s">
        <v>279</v>
      </c>
      <c r="B273" s="7" t="s">
        <v>338</v>
      </c>
      <c r="C273" s="7" t="s">
        <v>338</v>
      </c>
      <c r="D273" s="7" t="s">
        <v>338</v>
      </c>
    </row>
    <row r="274" spans="1:4" x14ac:dyDescent="0.35">
      <c r="A274" s="7" t="s">
        <v>280</v>
      </c>
      <c r="B274" s="7" t="s">
        <v>338</v>
      </c>
      <c r="C274" s="7" t="s">
        <v>338</v>
      </c>
      <c r="D274" s="7" t="s">
        <v>338</v>
      </c>
    </row>
    <row r="275" spans="1:4" x14ac:dyDescent="0.35">
      <c r="A275" s="7" t="s">
        <v>281</v>
      </c>
      <c r="B275" s="7" t="s">
        <v>338</v>
      </c>
      <c r="C275" s="7" t="s">
        <v>338</v>
      </c>
      <c r="D275" s="7" t="s">
        <v>338</v>
      </c>
    </row>
    <row r="276" spans="1:4" x14ac:dyDescent="0.35">
      <c r="A276" s="7" t="s">
        <v>282</v>
      </c>
      <c r="B276" s="7" t="s">
        <v>338</v>
      </c>
      <c r="C276" s="7" t="s">
        <v>338</v>
      </c>
      <c r="D276" s="7" t="s">
        <v>338</v>
      </c>
    </row>
    <row r="277" spans="1:4" x14ac:dyDescent="0.35">
      <c r="A277" s="7" t="s">
        <v>283</v>
      </c>
      <c r="B277" s="7" t="s">
        <v>338</v>
      </c>
      <c r="C277" s="7" t="s">
        <v>338</v>
      </c>
      <c r="D277" s="7" t="s">
        <v>338</v>
      </c>
    </row>
    <row r="278" spans="1:4" x14ac:dyDescent="0.35">
      <c r="A278" s="7" t="s">
        <v>284</v>
      </c>
      <c r="B278" s="7" t="s">
        <v>338</v>
      </c>
      <c r="C278" s="7" t="s">
        <v>338</v>
      </c>
      <c r="D278" s="7" t="s">
        <v>338</v>
      </c>
    </row>
    <row r="279" spans="1:4" x14ac:dyDescent="0.35">
      <c r="A279" s="7" t="s">
        <v>285</v>
      </c>
      <c r="B279" s="7" t="s">
        <v>338</v>
      </c>
      <c r="C279" s="7" t="s">
        <v>338</v>
      </c>
      <c r="D279" s="7" t="s">
        <v>338</v>
      </c>
    </row>
    <row r="280" spans="1:4" x14ac:dyDescent="0.35">
      <c r="A280" s="7" t="s">
        <v>286</v>
      </c>
      <c r="B280" s="7" t="s">
        <v>338</v>
      </c>
      <c r="C280" s="7" t="s">
        <v>338</v>
      </c>
      <c r="D280" s="7" t="s">
        <v>338</v>
      </c>
    </row>
    <row r="281" spans="1:4" x14ac:dyDescent="0.35">
      <c r="A281" s="7" t="s">
        <v>287</v>
      </c>
      <c r="B281" s="7" t="s">
        <v>338</v>
      </c>
      <c r="C281" s="7" t="s">
        <v>338</v>
      </c>
      <c r="D281" s="7" t="s">
        <v>338</v>
      </c>
    </row>
    <row r="282" spans="1:4" x14ac:dyDescent="0.35">
      <c r="A282" s="7" t="s">
        <v>288</v>
      </c>
      <c r="B282" s="7" t="s">
        <v>338</v>
      </c>
      <c r="C282" s="7" t="s">
        <v>338</v>
      </c>
      <c r="D282" s="7" t="s">
        <v>338</v>
      </c>
    </row>
    <row r="283" spans="1:4" x14ac:dyDescent="0.35">
      <c r="A283" s="7" t="s">
        <v>289</v>
      </c>
      <c r="B283" s="7" t="s">
        <v>338</v>
      </c>
      <c r="C283" s="7" t="s">
        <v>338</v>
      </c>
      <c r="D283" s="7" t="s">
        <v>338</v>
      </c>
    </row>
    <row r="284" spans="1:4" x14ac:dyDescent="0.35">
      <c r="A284" s="7" t="s">
        <v>290</v>
      </c>
      <c r="B284" s="7" t="s">
        <v>338</v>
      </c>
      <c r="C284" s="7" t="s">
        <v>338</v>
      </c>
      <c r="D284" s="7" t="s">
        <v>338</v>
      </c>
    </row>
    <row r="285" spans="1:4" x14ac:dyDescent="0.35">
      <c r="A285" s="7" t="s">
        <v>291</v>
      </c>
      <c r="B285" s="7" t="s">
        <v>338</v>
      </c>
      <c r="C285" s="7" t="s">
        <v>338</v>
      </c>
      <c r="D285" s="7" t="s">
        <v>338</v>
      </c>
    </row>
    <row r="286" spans="1:4" x14ac:dyDescent="0.35">
      <c r="A286" s="7" t="s">
        <v>292</v>
      </c>
      <c r="B286" s="7" t="s">
        <v>338</v>
      </c>
      <c r="C286" s="7" t="s">
        <v>338</v>
      </c>
      <c r="D286" s="7" t="s">
        <v>338</v>
      </c>
    </row>
    <row r="287" spans="1:4" x14ac:dyDescent="0.35">
      <c r="A287" s="7" t="s">
        <v>293</v>
      </c>
      <c r="B287" s="7" t="s">
        <v>338</v>
      </c>
      <c r="C287" s="7" t="s">
        <v>338</v>
      </c>
      <c r="D287" s="7" t="s">
        <v>338</v>
      </c>
    </row>
    <row r="288" spans="1:4" x14ac:dyDescent="0.35">
      <c r="A288" s="7" t="s">
        <v>294</v>
      </c>
      <c r="B288" s="7" t="s">
        <v>338</v>
      </c>
      <c r="C288" s="7" t="s">
        <v>338</v>
      </c>
      <c r="D288" s="7" t="s">
        <v>338</v>
      </c>
    </row>
    <row r="289" spans="1:4" x14ac:dyDescent="0.35">
      <c r="A289" s="7" t="s">
        <v>295</v>
      </c>
      <c r="B289" s="7" t="s">
        <v>338</v>
      </c>
      <c r="C289" s="7" t="s">
        <v>338</v>
      </c>
      <c r="D289" s="7" t="s">
        <v>338</v>
      </c>
    </row>
    <row r="290" spans="1:4" x14ac:dyDescent="0.35">
      <c r="A290" s="7" t="s">
        <v>296</v>
      </c>
      <c r="B290" s="7" t="s">
        <v>338</v>
      </c>
      <c r="C290" s="7" t="s">
        <v>338</v>
      </c>
      <c r="D290" s="7" t="s">
        <v>338</v>
      </c>
    </row>
    <row r="291" spans="1:4" x14ac:dyDescent="0.35">
      <c r="A291" s="7" t="s">
        <v>297</v>
      </c>
      <c r="B291" s="7" t="s">
        <v>338</v>
      </c>
      <c r="C291" s="7" t="s">
        <v>338</v>
      </c>
      <c r="D291" s="7" t="s">
        <v>338</v>
      </c>
    </row>
    <row r="292" spans="1:4" x14ac:dyDescent="0.35">
      <c r="A292" s="7" t="s">
        <v>298</v>
      </c>
      <c r="B292" s="7" t="s">
        <v>338</v>
      </c>
      <c r="C292" s="7" t="s">
        <v>338</v>
      </c>
      <c r="D292" s="7" t="s">
        <v>338</v>
      </c>
    </row>
    <row r="293" spans="1:4" x14ac:dyDescent="0.35">
      <c r="A293" s="7" t="s">
        <v>299</v>
      </c>
      <c r="B293" s="7" t="s">
        <v>338</v>
      </c>
      <c r="C293" s="7" t="s">
        <v>339</v>
      </c>
      <c r="D293" s="7" t="s">
        <v>338</v>
      </c>
    </row>
    <row r="294" spans="1:4" x14ac:dyDescent="0.35">
      <c r="A294" s="7" t="s">
        <v>300</v>
      </c>
      <c r="B294" s="7" t="s">
        <v>338</v>
      </c>
      <c r="C294" s="7" t="s">
        <v>338</v>
      </c>
      <c r="D294" s="7" t="s">
        <v>338</v>
      </c>
    </row>
    <row r="295" spans="1:4" x14ac:dyDescent="0.35">
      <c r="A295" s="7" t="s">
        <v>301</v>
      </c>
      <c r="B295" s="7" t="s">
        <v>338</v>
      </c>
      <c r="C295" s="7" t="s">
        <v>338</v>
      </c>
      <c r="D295" s="7" t="s">
        <v>338</v>
      </c>
    </row>
    <row r="296" spans="1:4" x14ac:dyDescent="0.35">
      <c r="A296" s="7" t="s">
        <v>302</v>
      </c>
      <c r="B296" s="7" t="s">
        <v>338</v>
      </c>
      <c r="C296" s="7" t="s">
        <v>338</v>
      </c>
      <c r="D296" s="7" t="s">
        <v>338</v>
      </c>
    </row>
    <row r="297" spans="1:4" x14ac:dyDescent="0.35">
      <c r="A297" s="7" t="s">
        <v>303</v>
      </c>
      <c r="B297" s="7" t="s">
        <v>338</v>
      </c>
      <c r="C297" s="7" t="s">
        <v>338</v>
      </c>
      <c r="D297" s="7" t="s">
        <v>338</v>
      </c>
    </row>
    <row r="298" spans="1:4" x14ac:dyDescent="0.35">
      <c r="A298" s="7" t="s">
        <v>304</v>
      </c>
      <c r="B298" s="7" t="s">
        <v>338</v>
      </c>
      <c r="C298" s="7" t="s">
        <v>338</v>
      </c>
      <c r="D298" s="7" t="s">
        <v>338</v>
      </c>
    </row>
    <row r="299" spans="1:4" x14ac:dyDescent="0.35">
      <c r="A299" s="7" t="s">
        <v>305</v>
      </c>
      <c r="B299" s="7" t="s">
        <v>338</v>
      </c>
      <c r="C299" s="7" t="s">
        <v>338</v>
      </c>
      <c r="D299" s="7" t="s">
        <v>338</v>
      </c>
    </row>
    <row r="300" spans="1:4" x14ac:dyDescent="0.35">
      <c r="A300" s="7" t="s">
        <v>306</v>
      </c>
      <c r="B300" s="7" t="s">
        <v>338</v>
      </c>
      <c r="C300" s="7" t="s">
        <v>338</v>
      </c>
      <c r="D300" s="7" t="s">
        <v>338</v>
      </c>
    </row>
    <row r="301" spans="1:4" x14ac:dyDescent="0.35">
      <c r="A301" s="7" t="s">
        <v>307</v>
      </c>
      <c r="B301" s="7" t="s">
        <v>338</v>
      </c>
      <c r="C301" s="7" t="s">
        <v>338</v>
      </c>
      <c r="D301" s="7" t="s">
        <v>338</v>
      </c>
    </row>
    <row r="302" spans="1:4" x14ac:dyDescent="0.35">
      <c r="A302" s="7" t="s">
        <v>308</v>
      </c>
      <c r="B302" s="7" t="s">
        <v>338</v>
      </c>
      <c r="C302" s="7" t="s">
        <v>338</v>
      </c>
      <c r="D302" s="7" t="s">
        <v>338</v>
      </c>
    </row>
    <row r="303" spans="1:4" x14ac:dyDescent="0.35">
      <c r="A303" s="7" t="s">
        <v>309</v>
      </c>
      <c r="B303" s="7" t="s">
        <v>338</v>
      </c>
      <c r="C303" s="7" t="s">
        <v>338</v>
      </c>
      <c r="D303" s="7" t="s">
        <v>338</v>
      </c>
    </row>
    <row r="304" spans="1:4" x14ac:dyDescent="0.35">
      <c r="A304" s="7" t="s">
        <v>310</v>
      </c>
      <c r="B304" s="7" t="s">
        <v>338</v>
      </c>
      <c r="C304" s="7" t="s">
        <v>338</v>
      </c>
      <c r="D304" s="7" t="s">
        <v>338</v>
      </c>
    </row>
    <row r="305" spans="1:4" x14ac:dyDescent="0.35">
      <c r="A305" s="7" t="s">
        <v>311</v>
      </c>
      <c r="B305" s="7" t="s">
        <v>338</v>
      </c>
      <c r="C305" s="7" t="s">
        <v>338</v>
      </c>
      <c r="D305" s="7" t="s">
        <v>338</v>
      </c>
    </row>
    <row r="306" spans="1:4" x14ac:dyDescent="0.35">
      <c r="A306" s="7" t="s">
        <v>312</v>
      </c>
      <c r="B306" s="7" t="s">
        <v>338</v>
      </c>
      <c r="C306" s="7" t="s">
        <v>338</v>
      </c>
      <c r="D306" s="7" t="s">
        <v>338</v>
      </c>
    </row>
    <row r="307" spans="1:4" x14ac:dyDescent="0.35">
      <c r="A307" s="7" t="s">
        <v>313</v>
      </c>
      <c r="B307" s="7" t="s">
        <v>338</v>
      </c>
      <c r="C307" s="7" t="s">
        <v>338</v>
      </c>
      <c r="D307" s="7" t="s">
        <v>338</v>
      </c>
    </row>
    <row r="308" spans="1:4" x14ac:dyDescent="0.35">
      <c r="A308" s="7" t="s">
        <v>314</v>
      </c>
      <c r="B308" s="7" t="s">
        <v>338</v>
      </c>
      <c r="C308" s="7" t="s">
        <v>338</v>
      </c>
      <c r="D308" s="7" t="s">
        <v>338</v>
      </c>
    </row>
    <row r="309" spans="1:4" x14ac:dyDescent="0.35">
      <c r="A309" s="7" t="s">
        <v>315</v>
      </c>
      <c r="B309" s="7" t="s">
        <v>338</v>
      </c>
      <c r="C309" s="7" t="s">
        <v>338</v>
      </c>
      <c r="D309" s="7" t="s">
        <v>338</v>
      </c>
    </row>
  </sheetData>
  <mergeCells count="1">
    <mergeCell ref="A1:H1"/>
  </mergeCells>
  <conditionalFormatting sqref="B10:D309">
    <cfRule type="cellIs" dxfId="12" priority="1" operator="equal">
      <formula>"OUTLIER"</formula>
    </cfRule>
  </conditionalFormatting>
  <conditionalFormatting sqref="B10:D310">
    <cfRule type="cellIs" dxfId="11" priority="3" operator="equal">
      <formula>"OK"</formula>
    </cfRule>
  </conditionalFormatting>
  <conditionalFormatting sqref="D298">
    <cfRule type="cellIs" dxfId="10" priority="2" operator="equal">
      <formula>"OUTLIER"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1CDE-233E-4704-8F30-F399692EB8AE}">
  <dimension ref="A1:H10"/>
  <sheetViews>
    <sheetView workbookViewId="0">
      <selection activeCell="J19" sqref="J19"/>
    </sheetView>
  </sheetViews>
  <sheetFormatPr defaultRowHeight="14.5" x14ac:dyDescent="0.35"/>
  <cols>
    <col min="1" max="1" width="23.36328125" customWidth="1"/>
    <col min="2" max="2" width="16.81640625" customWidth="1"/>
    <col min="3" max="3" width="18" customWidth="1"/>
    <col min="4" max="4" width="20.08984375" customWidth="1"/>
    <col min="5" max="5" width="14.81640625" customWidth="1"/>
    <col min="6" max="6" width="14.7265625" customWidth="1"/>
    <col min="7" max="7" width="16.1796875" customWidth="1"/>
    <col min="8" max="8" width="24" customWidth="1"/>
  </cols>
  <sheetData>
    <row r="1" spans="1:8" ht="18" x14ac:dyDescent="0.4">
      <c r="A1" s="10" t="s">
        <v>347</v>
      </c>
      <c r="B1" s="10"/>
      <c r="C1" s="10"/>
      <c r="D1" s="10"/>
      <c r="E1" s="10"/>
      <c r="F1" s="10"/>
      <c r="G1" s="10"/>
      <c r="H1" s="10"/>
    </row>
    <row r="2" spans="1:8" x14ac:dyDescent="0.35">
      <c r="A2" s="5"/>
      <c r="B2" s="5"/>
      <c r="C2" s="5"/>
      <c r="D2" s="5"/>
      <c r="E2" s="5"/>
      <c r="F2" s="5"/>
      <c r="G2" s="5"/>
      <c r="H2" s="5"/>
    </row>
    <row r="3" spans="1:8" x14ac:dyDescent="0.35">
      <c r="A3" s="8"/>
      <c r="B3" s="1" t="s">
        <v>319</v>
      </c>
      <c r="C3" s="1" t="s">
        <v>320</v>
      </c>
      <c r="D3" s="1" t="s">
        <v>321</v>
      </c>
      <c r="E3" s="1" t="s">
        <v>4</v>
      </c>
      <c r="F3" s="1" t="s">
        <v>322</v>
      </c>
      <c r="G3" s="1" t="s">
        <v>323</v>
      </c>
      <c r="H3" s="1" t="s">
        <v>324</v>
      </c>
    </row>
    <row r="4" spans="1:8" x14ac:dyDescent="0.35">
      <c r="A4" s="9" t="s">
        <v>319</v>
      </c>
      <c r="B4" s="7">
        <v>1</v>
      </c>
      <c r="C4" s="7">
        <v>0.02</v>
      </c>
      <c r="D4" s="7">
        <v>0.01</v>
      </c>
      <c r="E4" s="7">
        <v>-0.03</v>
      </c>
      <c r="F4" s="7">
        <v>7.0000000000000007E-2</v>
      </c>
      <c r="G4" s="7">
        <v>0.02</v>
      </c>
      <c r="H4" s="7">
        <v>-0.01</v>
      </c>
    </row>
    <row r="5" spans="1:8" x14ac:dyDescent="0.35">
      <c r="A5" s="9" t="s">
        <v>320</v>
      </c>
      <c r="B5" s="7">
        <v>0.02</v>
      </c>
      <c r="C5" s="7">
        <v>1</v>
      </c>
      <c r="D5" s="7">
        <v>-0.03</v>
      </c>
      <c r="E5" s="7">
        <v>-0.05</v>
      </c>
      <c r="F5" s="7">
        <v>0.05</v>
      </c>
      <c r="G5" s="7">
        <v>-0.04</v>
      </c>
      <c r="H5" s="7">
        <v>0.02</v>
      </c>
    </row>
    <row r="6" spans="1:8" x14ac:dyDescent="0.35">
      <c r="A6" s="9" t="s">
        <v>321</v>
      </c>
      <c r="B6" s="7">
        <v>0.01</v>
      </c>
      <c r="C6" s="7">
        <v>-0.03</v>
      </c>
      <c r="D6" s="7">
        <v>1</v>
      </c>
      <c r="E6" s="7">
        <v>0.06</v>
      </c>
      <c r="F6" s="7">
        <v>0.42</v>
      </c>
      <c r="G6" s="7">
        <v>0.86</v>
      </c>
      <c r="H6" s="7">
        <v>0.55000000000000004</v>
      </c>
    </row>
    <row r="7" spans="1:8" x14ac:dyDescent="0.35">
      <c r="A7" s="9" t="s">
        <v>4</v>
      </c>
      <c r="B7" s="7">
        <v>-0.03</v>
      </c>
      <c r="C7" s="7">
        <v>-0.05</v>
      </c>
      <c r="D7" s="7">
        <v>0.06</v>
      </c>
      <c r="E7" s="7">
        <v>1</v>
      </c>
      <c r="F7" s="7">
        <v>-0.35</v>
      </c>
      <c r="G7" s="7">
        <v>0.41</v>
      </c>
      <c r="H7" s="7">
        <v>-0.06</v>
      </c>
    </row>
    <row r="8" spans="1:8" x14ac:dyDescent="0.35">
      <c r="A8" s="9" t="s">
        <v>322</v>
      </c>
      <c r="B8" s="7">
        <v>7.0000000000000007E-2</v>
      </c>
      <c r="C8" s="7">
        <v>0.05</v>
      </c>
      <c r="D8" s="7">
        <v>0.42</v>
      </c>
      <c r="E8" s="7">
        <v>-0.35</v>
      </c>
      <c r="F8" s="7">
        <v>1</v>
      </c>
      <c r="G8" s="7">
        <v>0.4</v>
      </c>
      <c r="H8" s="7">
        <v>0.3</v>
      </c>
    </row>
    <row r="9" spans="1:8" x14ac:dyDescent="0.35">
      <c r="A9" s="9" t="s">
        <v>323</v>
      </c>
      <c r="B9" s="7">
        <v>0.02</v>
      </c>
      <c r="C9" s="7">
        <v>-0.04</v>
      </c>
      <c r="D9" s="7">
        <v>0.86</v>
      </c>
      <c r="E9" s="7">
        <v>0.41</v>
      </c>
      <c r="F9" s="7">
        <v>0.4</v>
      </c>
      <c r="G9" s="7">
        <v>1</v>
      </c>
      <c r="H9" s="7">
        <v>0.49</v>
      </c>
    </row>
    <row r="10" spans="1:8" x14ac:dyDescent="0.35">
      <c r="A10" s="9" t="s">
        <v>324</v>
      </c>
      <c r="B10" s="7">
        <v>-0.01</v>
      </c>
      <c r="C10" s="7">
        <v>0.02</v>
      </c>
      <c r="D10" s="7">
        <v>0.55000000000000004</v>
      </c>
      <c r="E10" s="7">
        <v>-0.06</v>
      </c>
      <c r="F10" s="7">
        <v>0.3</v>
      </c>
      <c r="G10" s="7">
        <v>0.49</v>
      </c>
      <c r="H10" s="7">
        <v>1</v>
      </c>
    </row>
  </sheetData>
  <mergeCells count="1">
    <mergeCell ref="A1:H1"/>
  </mergeCells>
  <conditionalFormatting sqref="B4:H10">
    <cfRule type="colorScale" priority="1">
      <colorScale>
        <cfvo type="num" val="-1"/>
        <cfvo type="num" val="0"/>
        <cfvo type="num" val="1"/>
        <color theme="3" tint="0.249977111117893"/>
        <color theme="3" tint="0.89999084444715716"/>
        <color theme="4" tint="0.59999389629810485"/>
      </colorScale>
    </cfRule>
    <cfRule type="colorScale" priority="2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D16">
    <cfRule type="colorScale" priority="3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I6">
    <cfRule type="colorScale" priority="4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7AD2B-A2A2-4A96-BCAD-161214DA307C}">
  <dimension ref="A1:Q34"/>
  <sheetViews>
    <sheetView topLeftCell="D5" zoomScale="78" zoomScaleNormal="26" workbookViewId="0">
      <selection activeCell="X3" sqref="X3"/>
    </sheetView>
  </sheetViews>
  <sheetFormatPr defaultRowHeight="14.5" x14ac:dyDescent="0.35"/>
  <cols>
    <col min="1" max="14" width="8.7265625" style="5"/>
    <col min="15" max="15" width="13.90625" style="5" customWidth="1"/>
    <col min="16" max="16" width="21.08984375" style="5" customWidth="1"/>
    <col min="17" max="16384" width="8.7265625" style="5"/>
  </cols>
  <sheetData>
    <row r="1" spans="1:16" ht="18" x14ac:dyDescent="0.4">
      <c r="A1" s="6" t="s">
        <v>348</v>
      </c>
    </row>
    <row r="3" spans="1:16" x14ac:dyDescent="0.35">
      <c r="O3" s="19" t="s">
        <v>349</v>
      </c>
      <c r="P3" s="19" t="s">
        <v>6</v>
      </c>
    </row>
    <row r="4" spans="1:16" x14ac:dyDescent="0.35">
      <c r="O4" s="5" t="s">
        <v>350</v>
      </c>
      <c r="P4" s="5">
        <v>57254.39</v>
      </c>
    </row>
    <row r="5" spans="1:16" x14ac:dyDescent="0.35">
      <c r="O5" s="5" t="s">
        <v>351</v>
      </c>
      <c r="P5" s="5">
        <v>51851.65</v>
      </c>
    </row>
    <row r="6" spans="1:16" x14ac:dyDescent="0.35">
      <c r="O6" s="5" t="s">
        <v>352</v>
      </c>
      <c r="P6" s="5">
        <v>54299.73</v>
      </c>
    </row>
    <row r="7" spans="1:16" x14ac:dyDescent="0.35">
      <c r="O7" s="5" t="s">
        <v>353</v>
      </c>
      <c r="P7" s="5">
        <v>58385.61</v>
      </c>
    </row>
    <row r="8" spans="1:16" x14ac:dyDescent="0.35">
      <c r="O8" s="5" t="s">
        <v>354</v>
      </c>
      <c r="P8" s="5">
        <v>71617.16</v>
      </c>
    </row>
    <row r="9" spans="1:16" x14ac:dyDescent="0.35">
      <c r="O9" s="5" t="s">
        <v>355</v>
      </c>
      <c r="P9" s="5">
        <v>65577.52</v>
      </c>
    </row>
    <row r="27" spans="15:17" x14ac:dyDescent="0.35">
      <c r="O27" s="20" t="s">
        <v>356</v>
      </c>
      <c r="P27" s="20" t="s">
        <v>358</v>
      </c>
      <c r="Q27"/>
    </row>
    <row r="28" spans="15:17" x14ac:dyDescent="0.35">
      <c r="O28" s="13" t="s">
        <v>359</v>
      </c>
      <c r="P28" s="14">
        <v>57254.39</v>
      </c>
    </row>
    <row r="29" spans="15:17" x14ac:dyDescent="0.35">
      <c r="O29" s="13" t="s">
        <v>360</v>
      </c>
      <c r="P29" s="14">
        <v>51851.649999999994</v>
      </c>
    </row>
    <row r="30" spans="15:17" x14ac:dyDescent="0.35">
      <c r="O30" s="13" t="s">
        <v>361</v>
      </c>
      <c r="P30" s="14">
        <v>54299.73</v>
      </c>
    </row>
    <row r="31" spans="15:17" x14ac:dyDescent="0.35">
      <c r="O31" s="13" t="s">
        <v>362</v>
      </c>
      <c r="P31" s="14">
        <v>58385.610000000008</v>
      </c>
    </row>
    <row r="32" spans="15:17" x14ac:dyDescent="0.35">
      <c r="O32" s="13" t="s">
        <v>363</v>
      </c>
      <c r="P32" s="14">
        <v>71617.160000000018</v>
      </c>
    </row>
    <row r="33" spans="15:16" x14ac:dyDescent="0.35">
      <c r="O33" s="13" t="s">
        <v>364</v>
      </c>
      <c r="P33" s="14">
        <v>65577.52</v>
      </c>
    </row>
    <row r="34" spans="15:16" x14ac:dyDescent="0.35">
      <c r="O34" s="21" t="s">
        <v>357</v>
      </c>
      <c r="P34" s="22">
        <v>358986.06000000006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FE9C-6F55-43CE-BDB5-C0CF4E2E7DBE}">
  <dimension ref="A1:A47"/>
  <sheetViews>
    <sheetView tabSelected="1" topLeftCell="A2" workbookViewId="0">
      <selection activeCell="A23" sqref="A23"/>
    </sheetView>
  </sheetViews>
  <sheetFormatPr defaultRowHeight="14.5" x14ac:dyDescent="0.35"/>
  <cols>
    <col min="1" max="1" width="120.26953125" customWidth="1"/>
  </cols>
  <sheetData>
    <row r="1" spans="1:1" ht="20" x14ac:dyDescent="0.4">
      <c r="A1" s="26" t="s">
        <v>365</v>
      </c>
    </row>
    <row r="2" spans="1:1" x14ac:dyDescent="0.35">
      <c r="A2" s="24"/>
    </row>
    <row r="3" spans="1:1" ht="16.5" x14ac:dyDescent="0.35">
      <c r="A3" s="25" t="s">
        <v>366</v>
      </c>
    </row>
    <row r="4" spans="1:1" x14ac:dyDescent="0.35">
      <c r="A4" s="24" t="s">
        <v>367</v>
      </c>
    </row>
    <row r="5" spans="1:1" x14ac:dyDescent="0.35">
      <c r="A5" s="24" t="s">
        <v>368</v>
      </c>
    </row>
    <row r="6" spans="1:1" x14ac:dyDescent="0.35">
      <c r="A6" s="24"/>
    </row>
    <row r="7" spans="1:1" ht="16.5" x14ac:dyDescent="0.35">
      <c r="A7" s="25" t="s">
        <v>369</v>
      </c>
    </row>
    <row r="8" spans="1:1" x14ac:dyDescent="0.35">
      <c r="A8" s="24" t="s">
        <v>370</v>
      </c>
    </row>
    <row r="9" spans="1:1" x14ac:dyDescent="0.35">
      <c r="A9" s="24" t="s">
        <v>371</v>
      </c>
    </row>
    <row r="10" spans="1:1" x14ac:dyDescent="0.35">
      <c r="A10" s="24" t="s">
        <v>372</v>
      </c>
    </row>
    <row r="11" spans="1:1" x14ac:dyDescent="0.35">
      <c r="A11" s="24" t="s">
        <v>373</v>
      </c>
    </row>
    <row r="12" spans="1:1" x14ac:dyDescent="0.35">
      <c r="A12" s="24" t="s">
        <v>374</v>
      </c>
    </row>
    <row r="13" spans="1:1" x14ac:dyDescent="0.35">
      <c r="A13" s="24" t="s">
        <v>375</v>
      </c>
    </row>
    <row r="14" spans="1:1" x14ac:dyDescent="0.35">
      <c r="A14" s="24"/>
    </row>
    <row r="15" spans="1:1" ht="16.5" x14ac:dyDescent="0.35">
      <c r="A15" s="25" t="s">
        <v>376</v>
      </c>
    </row>
    <row r="16" spans="1:1" x14ac:dyDescent="0.35">
      <c r="A16" s="24" t="s">
        <v>377</v>
      </c>
    </row>
    <row r="17" spans="1:1" x14ac:dyDescent="0.35">
      <c r="A17" s="24" t="s">
        <v>378</v>
      </c>
    </row>
    <row r="18" spans="1:1" x14ac:dyDescent="0.35">
      <c r="A18" s="24" t="s">
        <v>379</v>
      </c>
    </row>
    <row r="19" spans="1:1" x14ac:dyDescent="0.35">
      <c r="A19" s="24" t="s">
        <v>380</v>
      </c>
    </row>
    <row r="20" spans="1:1" x14ac:dyDescent="0.35">
      <c r="A20" s="24" t="s">
        <v>381</v>
      </c>
    </row>
    <row r="21" spans="1:1" x14ac:dyDescent="0.35">
      <c r="A21" s="24" t="s">
        <v>382</v>
      </c>
    </row>
    <row r="22" spans="1:1" x14ac:dyDescent="0.35">
      <c r="A22" s="24" t="s">
        <v>383</v>
      </c>
    </row>
    <row r="23" spans="1:1" x14ac:dyDescent="0.35">
      <c r="A23" s="24" t="s">
        <v>384</v>
      </c>
    </row>
    <row r="24" spans="1:1" x14ac:dyDescent="0.35">
      <c r="A24" s="24" t="s">
        <v>385</v>
      </c>
    </row>
    <row r="25" spans="1:1" x14ac:dyDescent="0.35">
      <c r="A25" s="24" t="s">
        <v>386</v>
      </c>
    </row>
    <row r="26" spans="1:1" x14ac:dyDescent="0.35">
      <c r="A26" s="24" t="s">
        <v>387</v>
      </c>
    </row>
    <row r="27" spans="1:1" x14ac:dyDescent="0.35">
      <c r="A27" s="24" t="s">
        <v>388</v>
      </c>
    </row>
    <row r="28" spans="1:1" x14ac:dyDescent="0.35">
      <c r="A28" s="24" t="s">
        <v>389</v>
      </c>
    </row>
    <row r="29" spans="1:1" x14ac:dyDescent="0.35">
      <c r="A29" s="24" t="s">
        <v>390</v>
      </c>
    </row>
    <row r="30" spans="1:1" x14ac:dyDescent="0.35">
      <c r="A30" s="24" t="s">
        <v>391</v>
      </c>
    </row>
    <row r="31" spans="1:1" x14ac:dyDescent="0.35">
      <c r="A31" s="24" t="s">
        <v>392</v>
      </c>
    </row>
    <row r="32" spans="1:1" x14ac:dyDescent="0.35">
      <c r="A32" s="24" t="s">
        <v>393</v>
      </c>
    </row>
    <row r="33" spans="1:1" x14ac:dyDescent="0.35">
      <c r="A33" s="24"/>
    </row>
    <row r="34" spans="1:1" ht="16.5" x14ac:dyDescent="0.35">
      <c r="A34" s="25" t="s">
        <v>394</v>
      </c>
    </row>
    <row r="35" spans="1:1" x14ac:dyDescent="0.35">
      <c r="A35" s="24" t="s">
        <v>395</v>
      </c>
    </row>
    <row r="36" spans="1:1" x14ac:dyDescent="0.35">
      <c r="A36" s="24" t="s">
        <v>396</v>
      </c>
    </row>
    <row r="37" spans="1:1" x14ac:dyDescent="0.35">
      <c r="A37" s="24" t="s">
        <v>397</v>
      </c>
    </row>
    <row r="38" spans="1:1" x14ac:dyDescent="0.35">
      <c r="A38" s="24" t="s">
        <v>398</v>
      </c>
    </row>
    <row r="39" spans="1:1" x14ac:dyDescent="0.35">
      <c r="A39" s="24" t="s">
        <v>399</v>
      </c>
    </row>
    <row r="40" spans="1:1" x14ac:dyDescent="0.35">
      <c r="A40" s="24" t="s">
        <v>400</v>
      </c>
    </row>
    <row r="41" spans="1:1" x14ac:dyDescent="0.35">
      <c r="A41" s="24" t="s">
        <v>401</v>
      </c>
    </row>
    <row r="42" spans="1:1" x14ac:dyDescent="0.35">
      <c r="A42" s="24" t="s">
        <v>402</v>
      </c>
    </row>
    <row r="43" spans="1:1" x14ac:dyDescent="0.35">
      <c r="A43" s="24"/>
    </row>
    <row r="44" spans="1:1" x14ac:dyDescent="0.35">
      <c r="A44" s="23"/>
    </row>
    <row r="45" spans="1:1" x14ac:dyDescent="0.35">
      <c r="A45" s="24" t="s">
        <v>403</v>
      </c>
    </row>
    <row r="46" spans="1:1" x14ac:dyDescent="0.35">
      <c r="A46" s="24" t="s">
        <v>404</v>
      </c>
    </row>
    <row r="47" spans="1:1" x14ac:dyDescent="0.35">
      <c r="A47" s="24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Descriptive Stats</vt:lpstr>
      <vt:lpstr>Outlier Detection</vt:lpstr>
      <vt:lpstr>Correlation Matrix</vt:lpstr>
      <vt:lpstr>Charts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Tayyab Rehman</dc:creator>
  <cp:lastModifiedBy>Tayyab Rehman</cp:lastModifiedBy>
  <dcterms:created xsi:type="dcterms:W3CDTF">2026-08-07T19:25:48Z</dcterms:created>
  <dcterms:modified xsi:type="dcterms:W3CDTF">2026-08-08T21:15:45Z</dcterms:modified>
</cp:coreProperties>
</file>