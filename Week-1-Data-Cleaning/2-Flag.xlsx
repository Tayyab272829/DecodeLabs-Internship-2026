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Project 1 (Data Cleaning)\"/>
    </mc:Choice>
  </mc:AlternateContent>
  <xr:revisionPtr revIDLastSave="0" documentId="13_ncr:1_{1B1E4C63-698F-4CFD-A970-087B79C3E8A5}" xr6:coauthVersionLast="47" xr6:coauthVersionMax="47" xr10:uidLastSave="{00000000-0000-0000-0000-000000000000}"/>
  <bookViews>
    <workbookView xWindow="-110" yWindow="-110" windowWidth="19420" windowHeight="11500" xr2:uid="{AC76AF6C-B58E-4084-B469-92AA912DE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6" i="1" s="1"/>
  <c r="I24" i="1" s="1"/>
  <c r="I22" i="1" s="1"/>
  <c r="I20" i="1" s="1"/>
  <c r="I18" i="1" s="1"/>
  <c r="I16" i="1" s="1"/>
  <c r="I14" i="1" s="1"/>
  <c r="I12" i="1" s="1"/>
  <c r="I10" i="1" s="1"/>
  <c r="I8" i="1" s="1"/>
  <c r="I6" i="1" s="1"/>
  <c r="I4" i="1" s="1"/>
  <c r="I29" i="1"/>
  <c r="I27" i="1" s="1"/>
  <c r="I25" i="1" s="1"/>
  <c r="I23" i="1" s="1"/>
  <c r="I21" i="1" s="1"/>
  <c r="I19" i="1" s="1"/>
  <c r="I17" i="1" s="1"/>
  <c r="I15" i="1" s="1"/>
  <c r="I13" i="1" s="1"/>
  <c r="I11" i="1" s="1"/>
  <c r="I9" i="1" s="1"/>
  <c r="I7" i="1" s="1"/>
  <c r="I5" i="1" s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J4" i="1"/>
  <c r="K4" i="1"/>
</calcChain>
</file>

<file path=xl/sharedStrings.xml><?xml version="1.0" encoding="utf-8"?>
<sst xmlns="http://schemas.openxmlformats.org/spreadsheetml/2006/main" count="124" uniqueCount="65">
  <si>
    <t>Order_ID</t>
  </si>
  <si>
    <t>Customer_Name</t>
  </si>
  <si>
    <t>City</t>
  </si>
  <si>
    <t>Product</t>
  </si>
  <si>
    <t>Qty</t>
  </si>
  <si>
    <t>Unit_Price</t>
  </si>
  <si>
    <t>Order_Date</t>
  </si>
  <si>
    <t>Status</t>
  </si>
  <si>
    <t>Ayesha Khan</t>
  </si>
  <si>
    <t>Bengaluru</t>
  </si>
  <si>
    <t>Nexus-X</t>
  </si>
  <si>
    <t>Delivered</t>
  </si>
  <si>
    <t xml:space="preserve">  Bilal Ahmed </t>
  </si>
  <si>
    <t>Bangalore</t>
  </si>
  <si>
    <t>2024-01-15T14:32:21Z</t>
  </si>
  <si>
    <t>Processing</t>
  </si>
  <si>
    <t>Sana Malik</t>
  </si>
  <si>
    <t>BLR</t>
  </si>
  <si>
    <t>Orbit-Pro</t>
  </si>
  <si>
    <t>15/01/2024</t>
  </si>
  <si>
    <t>mumbai</t>
  </si>
  <si>
    <t>Vortex-Lite</t>
  </si>
  <si>
    <t>Pending</t>
  </si>
  <si>
    <t>Hamza Sheikh</t>
  </si>
  <si>
    <t>MUMBAI</t>
  </si>
  <si>
    <t>Jan 17 2024</t>
  </si>
  <si>
    <t>Zainab Iqbal</t>
  </si>
  <si>
    <t>bangalore</t>
  </si>
  <si>
    <t>Cancelled</t>
  </si>
  <si>
    <t>Usman Tariq</t>
  </si>
  <si>
    <t xml:space="preserve">Mumbai </t>
  </si>
  <si>
    <t>Fatima Noor</t>
  </si>
  <si>
    <t xml:space="preserve"> Blor </t>
  </si>
  <si>
    <t>18-01-2024</t>
  </si>
  <si>
    <t>Ali Raza</t>
  </si>
  <si>
    <t>Mehwish Aslam</t>
  </si>
  <si>
    <t>Puducherry</t>
  </si>
  <si>
    <t>Kamran Yousuf</t>
  </si>
  <si>
    <t>22/01/2024</t>
  </si>
  <si>
    <t>Hira Basit</t>
  </si>
  <si>
    <t>puducherry</t>
  </si>
  <si>
    <t>Saad Malik</t>
  </si>
  <si>
    <t>Nimra Farooq</t>
  </si>
  <si>
    <t xml:space="preserve">Bengaluru </t>
  </si>
  <si>
    <t>Jan 24 2024</t>
  </si>
  <si>
    <t>Omar Sheikh</t>
  </si>
  <si>
    <t>24-01-2024</t>
  </si>
  <si>
    <t>Alina Yousaf</t>
  </si>
  <si>
    <t>Danish Elahi</t>
  </si>
  <si>
    <t xml:space="preserve">Bangalore </t>
  </si>
  <si>
    <t>Mumbai</t>
  </si>
  <si>
    <t>27/01/2024</t>
  </si>
  <si>
    <t>Kiran Aslam</t>
  </si>
  <si>
    <t>bengaluru</t>
  </si>
  <si>
    <t>Rida Sultan</t>
  </si>
  <si>
    <t xml:space="preserve">Puducherry </t>
  </si>
  <si>
    <t>Farhan Kazmi</t>
  </si>
  <si>
    <t xml:space="preserve">MUMBAI </t>
  </si>
  <si>
    <t>28-01-2024</t>
  </si>
  <si>
    <t>Sadia Hameed</t>
  </si>
  <si>
    <t xml:space="preserve">Flag Missing </t>
  </si>
  <si>
    <t>Flag Duplicate ID</t>
  </si>
  <si>
    <t xml:space="preserve">                                                                                                   RAW DATASET (as received) — audit formulas flag issues in columns I-K</t>
  </si>
  <si>
    <t xml:space="preserve">                                                 Steps : I-L = audit flags | M-S = live formulas that fix each issue off columns A-I. Filter column R to 'KEEP' and copy M:S to build your final clean table (see Cleaned_Data tab).</t>
  </si>
  <si>
    <t>Flag Bad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</si>
</sst>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4"/>
      <color theme="7" tint="0.39997558519241921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sz val="11"/>
      <color theme="0" tint="-4.9989318521683403E-2"/>
      <name val="Calibri"/>
      <family val="2"/>
    </font>
    <font>
      <sz val="11"/>
      <color theme="0" tint="-4.9989318521683403E-2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3" borderId="0" xfId="0" applyFill="1"/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rgb="FFFF7C80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7C80"/>
      <color rgb="FFFFC7CE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4E3D-A872-4F63-B958-736CF117F6AF}">
  <dimension ref="A1:K29"/>
  <sheetViews>
    <sheetView tabSelected="1" zoomScale="95" workbookViewId="0">
      <selection activeCell="G13" sqref="G13"/>
    </sheetView>
  </sheetViews>
  <sheetFormatPr defaultRowHeight="14.5"/>
  <cols>
    <col min="1" max="1" width="12" customWidth="1"/>
    <col min="2" max="2" width="16.453125" customWidth="1"/>
    <col min="3" max="3" width="13.1796875" style="4" customWidth="1"/>
    <col min="4" max="4" width="13.54296875" style="4" customWidth="1"/>
    <col min="6" max="6" width="12.90625" customWidth="1"/>
    <col min="7" max="7" width="21.7265625" style="4" customWidth="1"/>
    <col min="8" max="8" width="14.36328125" style="4" customWidth="1"/>
    <col min="9" max="9" width="11.90625" style="4" customWidth="1"/>
    <col min="10" max="10" width="22.26953125" style="4" customWidth="1"/>
    <col min="11" max="11" width="17" style="4" customWidth="1"/>
  </cols>
  <sheetData>
    <row r="1" spans="1:11" ht="18.5">
      <c r="A1" s="7" t="s">
        <v>62</v>
      </c>
      <c r="B1" s="1"/>
      <c r="C1" s="6"/>
      <c r="D1" s="6"/>
      <c r="E1" s="1"/>
      <c r="F1" s="2"/>
    </row>
    <row r="2" spans="1:11">
      <c r="A2" t="s">
        <v>63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0" t="s">
        <v>60</v>
      </c>
      <c r="J3" s="10" t="s">
        <v>61</v>
      </c>
      <c r="K3" s="12" t="s">
        <v>64</v>
      </c>
    </row>
    <row r="4" spans="1:11">
      <c r="A4" s="3">
        <v>44901</v>
      </c>
      <c r="B4" s="3" t="s">
        <v>8</v>
      </c>
      <c r="C4" s="3" t="s">
        <v>9</v>
      </c>
      <c r="D4" s="3" t="s">
        <v>10</v>
      </c>
      <c r="E4" s="3">
        <v>2</v>
      </c>
      <c r="F4" s="3">
        <v>499.99900000000002</v>
      </c>
      <c r="G4" s="5">
        <v>45305</v>
      </c>
      <c r="H4" s="3" t="s">
        <v>11</v>
      </c>
      <c r="I4" s="4" t="str">
        <f>IF(COUNTBLANK(A6:I6)&gt;0,"MISSING","OK")</f>
        <v>OK</v>
      </c>
      <c r="J4" s="4" t="str">
        <f t="shared" ref="J4:J29" si="0">IF(COUNTIF($A$6:$A$31,A6)&gt;1,"DUPLICATE","OK")</f>
        <v>OK</v>
      </c>
      <c r="K4" s="4" t="str">
        <f>IF(ISNUMBER(--LEFT(G6,4)),"OK","NON-ISO FORMAT")</f>
        <v>OK</v>
      </c>
    </row>
    <row r="5" spans="1:11">
      <c r="A5" s="3">
        <v>44902</v>
      </c>
      <c r="B5" s="3" t="s">
        <v>12</v>
      </c>
      <c r="C5" s="3" t="s">
        <v>13</v>
      </c>
      <c r="D5" s="3" t="s">
        <v>10</v>
      </c>
      <c r="E5" s="3">
        <v>3</v>
      </c>
      <c r="F5" s="3">
        <v>1499.9666</v>
      </c>
      <c r="G5" s="3" t="s">
        <v>14</v>
      </c>
      <c r="H5" s="3" t="s">
        <v>15</v>
      </c>
      <c r="I5" s="4" t="str">
        <f t="shared" ref="I5:I29" si="1">IF(COUNTBLANK(A7:I7)&gt;0,"MISSING","OK")</f>
        <v>OK</v>
      </c>
      <c r="J5" s="4" t="str">
        <f t="shared" si="0"/>
        <v>OK</v>
      </c>
      <c r="K5" s="4" t="str">
        <f t="shared" ref="K5:K29" si="2">IF(ISNUMBER(--LEFT(G7,4)),"OK","NON-ISO FORMAT")</f>
        <v>NON-ISO FORMAT</v>
      </c>
    </row>
    <row r="6" spans="1:11">
      <c r="A6" s="3">
        <v>44902</v>
      </c>
      <c r="B6" s="3" t="s">
        <v>12</v>
      </c>
      <c r="C6" s="3" t="s">
        <v>13</v>
      </c>
      <c r="D6" s="3" t="s">
        <v>10</v>
      </c>
      <c r="E6" s="3">
        <v>3</v>
      </c>
      <c r="F6" s="3">
        <v>1499.9666</v>
      </c>
      <c r="G6" s="3" t="s">
        <v>14</v>
      </c>
      <c r="H6" s="3" t="s">
        <v>15</v>
      </c>
      <c r="I6" s="4" t="str">
        <f t="shared" si="1"/>
        <v>MISSING</v>
      </c>
      <c r="J6" s="4" t="str">
        <f t="shared" si="0"/>
        <v>OK</v>
      </c>
      <c r="K6" s="4" t="str">
        <f t="shared" si="2"/>
        <v>OK</v>
      </c>
    </row>
    <row r="7" spans="1:11">
      <c r="A7" s="3">
        <v>44903</v>
      </c>
      <c r="B7" s="3" t="s">
        <v>16</v>
      </c>
      <c r="C7" s="3" t="s">
        <v>17</v>
      </c>
      <c r="D7" s="3" t="s">
        <v>18</v>
      </c>
      <c r="E7" s="3">
        <v>1</v>
      </c>
      <c r="F7" s="3">
        <v>899.5</v>
      </c>
      <c r="G7" s="3" t="s">
        <v>19</v>
      </c>
      <c r="H7" s="3" t="s">
        <v>11</v>
      </c>
      <c r="I7" s="4" t="str">
        <f t="shared" si="1"/>
        <v>OK</v>
      </c>
      <c r="J7" s="4" t="str">
        <f t="shared" si="0"/>
        <v>OK</v>
      </c>
      <c r="K7" s="4" t="str">
        <f t="shared" si="2"/>
        <v>NON-ISO FORMAT</v>
      </c>
    </row>
    <row r="8" spans="1:11">
      <c r="A8" s="3">
        <v>44904</v>
      </c>
      <c r="B8" s="3"/>
      <c r="C8" s="3" t="s">
        <v>20</v>
      </c>
      <c r="D8" s="3" t="s">
        <v>21</v>
      </c>
      <c r="E8" s="3">
        <v>5</v>
      </c>
      <c r="F8" s="3"/>
      <c r="G8" s="5">
        <v>45307</v>
      </c>
      <c r="H8" s="3" t="s">
        <v>22</v>
      </c>
      <c r="I8" s="4" t="str">
        <f t="shared" si="1"/>
        <v>MISSING</v>
      </c>
      <c r="J8" s="4" t="str">
        <f t="shared" si="0"/>
        <v>OK</v>
      </c>
      <c r="K8" s="4" t="str">
        <f t="shared" si="2"/>
        <v>OK</v>
      </c>
    </row>
    <row r="9" spans="1:11">
      <c r="A9" s="3">
        <v>44905</v>
      </c>
      <c r="B9" s="3" t="s">
        <v>23</v>
      </c>
      <c r="C9" s="3" t="s">
        <v>24</v>
      </c>
      <c r="D9" s="3" t="s">
        <v>18</v>
      </c>
      <c r="E9" s="3">
        <v>2</v>
      </c>
      <c r="F9" s="3">
        <v>899.5</v>
      </c>
      <c r="G9" s="3" t="s">
        <v>25</v>
      </c>
      <c r="H9" s="3" t="s">
        <v>11</v>
      </c>
      <c r="I9" s="4" t="str">
        <f t="shared" si="1"/>
        <v>OK</v>
      </c>
      <c r="J9" s="4" t="str">
        <f t="shared" si="0"/>
        <v>OK</v>
      </c>
      <c r="K9" s="4" t="str">
        <f t="shared" si="2"/>
        <v>OK</v>
      </c>
    </row>
    <row r="10" spans="1:11">
      <c r="A10" s="3">
        <v>44906</v>
      </c>
      <c r="B10" s="3" t="s">
        <v>26</v>
      </c>
      <c r="C10" s="3" t="s">
        <v>27</v>
      </c>
      <c r="D10" s="3" t="s">
        <v>10</v>
      </c>
      <c r="E10" s="3"/>
      <c r="F10" s="3">
        <v>499.99</v>
      </c>
      <c r="G10" s="5">
        <v>45308</v>
      </c>
      <c r="H10" s="3" t="s">
        <v>28</v>
      </c>
      <c r="I10" s="4" t="str">
        <f t="shared" si="1"/>
        <v>OK</v>
      </c>
      <c r="J10" s="4" t="str">
        <f t="shared" si="0"/>
        <v>OK</v>
      </c>
      <c r="K10" s="4" t="str">
        <f t="shared" si="2"/>
        <v>NON-ISO FORMAT</v>
      </c>
    </row>
    <row r="11" spans="1:11">
      <c r="A11" s="3">
        <v>44907</v>
      </c>
      <c r="B11" s="3" t="s">
        <v>29</v>
      </c>
      <c r="C11" s="3" t="s">
        <v>30</v>
      </c>
      <c r="D11" s="3" t="s">
        <v>21</v>
      </c>
      <c r="E11" s="3">
        <v>4</v>
      </c>
      <c r="F11" s="3">
        <v>349</v>
      </c>
      <c r="G11" s="5">
        <v>45309</v>
      </c>
      <c r="H11" s="3" t="s">
        <v>11</v>
      </c>
      <c r="I11" s="4" t="str">
        <f t="shared" si="1"/>
        <v>OK</v>
      </c>
      <c r="J11" s="4" t="str">
        <f t="shared" si="0"/>
        <v>DUPLICATE</v>
      </c>
      <c r="K11" s="4" t="str">
        <f t="shared" si="2"/>
        <v>OK</v>
      </c>
    </row>
    <row r="12" spans="1:11">
      <c r="A12" s="3">
        <v>44908</v>
      </c>
      <c r="B12" s="3" t="s">
        <v>31</v>
      </c>
      <c r="C12" s="3" t="s">
        <v>32</v>
      </c>
      <c r="D12" s="3" t="s">
        <v>18</v>
      </c>
      <c r="E12" s="3">
        <v>2</v>
      </c>
      <c r="F12" s="3">
        <v>899.5</v>
      </c>
      <c r="G12" s="3" t="s">
        <v>33</v>
      </c>
      <c r="H12" s="3" t="s">
        <v>15</v>
      </c>
      <c r="I12" s="4" t="str">
        <f t="shared" si="1"/>
        <v>OK</v>
      </c>
      <c r="J12" s="4" t="str">
        <f t="shared" si="0"/>
        <v>DUPLICATE</v>
      </c>
      <c r="K12" s="4" t="str">
        <f t="shared" si="2"/>
        <v>OK</v>
      </c>
    </row>
    <row r="13" spans="1:11">
      <c r="A13" s="3">
        <v>44909</v>
      </c>
      <c r="B13" s="3" t="s">
        <v>34</v>
      </c>
      <c r="C13" s="3" t="s">
        <v>9</v>
      </c>
      <c r="D13" s="3" t="s">
        <v>10</v>
      </c>
      <c r="E13" s="3">
        <v>1</v>
      </c>
      <c r="F13" s="3">
        <v>1499.97</v>
      </c>
      <c r="G13" s="5">
        <v>45310</v>
      </c>
      <c r="H13" s="3" t="s">
        <v>11</v>
      </c>
      <c r="I13" s="4" t="str">
        <f t="shared" si="1"/>
        <v>OK</v>
      </c>
      <c r="J13" s="4" t="str">
        <f t="shared" si="0"/>
        <v>OK</v>
      </c>
      <c r="K13" s="4" t="str">
        <f t="shared" si="2"/>
        <v>OK</v>
      </c>
    </row>
    <row r="14" spans="1:11">
      <c r="A14" s="3">
        <v>44909</v>
      </c>
      <c r="B14" s="3" t="s">
        <v>34</v>
      </c>
      <c r="C14" s="3" t="s">
        <v>9</v>
      </c>
      <c r="D14" s="3" t="s">
        <v>10</v>
      </c>
      <c r="E14" s="3">
        <v>1</v>
      </c>
      <c r="F14" s="3">
        <v>1499.97</v>
      </c>
      <c r="G14" s="5">
        <v>45310</v>
      </c>
      <c r="H14" s="3" t="s">
        <v>11</v>
      </c>
      <c r="I14" s="4" t="str">
        <f t="shared" si="1"/>
        <v>MISSING</v>
      </c>
      <c r="J14" s="4" t="str">
        <f t="shared" si="0"/>
        <v>OK</v>
      </c>
      <c r="K14" s="4" t="str">
        <f t="shared" si="2"/>
        <v>OK</v>
      </c>
    </row>
    <row r="15" spans="1:11">
      <c r="A15" s="3">
        <v>44910</v>
      </c>
      <c r="B15" s="3" t="s">
        <v>35</v>
      </c>
      <c r="C15" s="3" t="s">
        <v>36</v>
      </c>
      <c r="D15" s="3" t="s">
        <v>21</v>
      </c>
      <c r="E15" s="3">
        <v>3</v>
      </c>
      <c r="F15" s="3">
        <v>349</v>
      </c>
      <c r="G15" s="5">
        <v>45311</v>
      </c>
      <c r="H15" s="3" t="s">
        <v>22</v>
      </c>
      <c r="I15" s="4" t="str">
        <f t="shared" si="1"/>
        <v>MISSING</v>
      </c>
      <c r="J15" s="4" t="str">
        <f t="shared" si="0"/>
        <v>OK</v>
      </c>
      <c r="K15" s="4" t="str">
        <f t="shared" si="2"/>
        <v>NON-ISO FORMAT</v>
      </c>
    </row>
    <row r="16" spans="1:11">
      <c r="A16" s="3">
        <v>44911</v>
      </c>
      <c r="B16" s="3"/>
      <c r="C16" s="3" t="s">
        <v>13</v>
      </c>
      <c r="D16" s="3" t="s">
        <v>10</v>
      </c>
      <c r="E16" s="3">
        <v>2</v>
      </c>
      <c r="F16" s="3">
        <v>499.99900000000002</v>
      </c>
      <c r="G16" s="5">
        <v>45312</v>
      </c>
      <c r="H16" s="3" t="s">
        <v>11</v>
      </c>
      <c r="I16" s="4" t="str">
        <f t="shared" si="1"/>
        <v>OK</v>
      </c>
      <c r="J16" s="4" t="str">
        <f t="shared" si="0"/>
        <v>OK</v>
      </c>
      <c r="K16" s="4" t="str">
        <f t="shared" si="2"/>
        <v>OK</v>
      </c>
    </row>
    <row r="17" spans="1:11">
      <c r="A17" s="3">
        <v>44912</v>
      </c>
      <c r="B17" s="3" t="s">
        <v>37</v>
      </c>
      <c r="C17" s="3" t="s">
        <v>24</v>
      </c>
      <c r="D17" s="3" t="s">
        <v>18</v>
      </c>
      <c r="E17" s="3"/>
      <c r="F17" s="3">
        <v>899.5</v>
      </c>
      <c r="G17" s="3" t="s">
        <v>38</v>
      </c>
      <c r="H17" s="3" t="s">
        <v>11</v>
      </c>
      <c r="I17" s="4" t="str">
        <f t="shared" si="1"/>
        <v>MISSING</v>
      </c>
      <c r="J17" s="4" t="str">
        <f t="shared" si="0"/>
        <v>OK</v>
      </c>
      <c r="K17" s="4" t="str">
        <f t="shared" si="2"/>
        <v>OK</v>
      </c>
    </row>
    <row r="18" spans="1:11">
      <c r="A18" s="3">
        <v>44913</v>
      </c>
      <c r="B18" s="3" t="s">
        <v>39</v>
      </c>
      <c r="C18" s="3" t="s">
        <v>40</v>
      </c>
      <c r="D18" s="3" t="s">
        <v>21</v>
      </c>
      <c r="E18" s="3">
        <v>1</v>
      </c>
      <c r="F18" s="3">
        <v>349</v>
      </c>
      <c r="G18" s="5">
        <v>45313</v>
      </c>
      <c r="H18" s="3" t="s">
        <v>28</v>
      </c>
      <c r="I18" s="4" t="str">
        <f t="shared" si="1"/>
        <v>OK</v>
      </c>
      <c r="J18" s="4" t="str">
        <f t="shared" si="0"/>
        <v>OK</v>
      </c>
      <c r="K18" s="4" t="str">
        <f t="shared" si="2"/>
        <v>NON-ISO FORMAT</v>
      </c>
    </row>
    <row r="19" spans="1:11">
      <c r="A19" s="3">
        <v>44914</v>
      </c>
      <c r="B19" s="3" t="s">
        <v>41</v>
      </c>
      <c r="C19" s="3" t="s">
        <v>13</v>
      </c>
      <c r="D19" s="3" t="s">
        <v>10</v>
      </c>
      <c r="E19" s="3">
        <v>2</v>
      </c>
      <c r="F19" s="3"/>
      <c r="G19" s="5">
        <v>45314</v>
      </c>
      <c r="H19" s="3" t="s">
        <v>15</v>
      </c>
      <c r="I19" s="4" t="str">
        <f t="shared" si="1"/>
        <v>MISSING</v>
      </c>
      <c r="J19" s="4" t="str">
        <f t="shared" si="0"/>
        <v>OK</v>
      </c>
      <c r="K19" s="4" t="str">
        <f t="shared" si="2"/>
        <v>NON-ISO FORMAT</v>
      </c>
    </row>
    <row r="20" spans="1:11">
      <c r="A20" s="3">
        <v>44915</v>
      </c>
      <c r="B20" s="3" t="s">
        <v>42</v>
      </c>
      <c r="C20" s="3" t="s">
        <v>43</v>
      </c>
      <c r="D20" s="3" t="s">
        <v>18</v>
      </c>
      <c r="E20" s="3">
        <v>3</v>
      </c>
      <c r="F20" s="3">
        <v>899.5</v>
      </c>
      <c r="G20" s="3" t="s">
        <v>44</v>
      </c>
      <c r="H20" s="3" t="s">
        <v>11</v>
      </c>
      <c r="I20" s="4" t="str">
        <f t="shared" si="1"/>
        <v>OK</v>
      </c>
      <c r="J20" s="4" t="str">
        <f t="shared" si="0"/>
        <v>DUPLICATE</v>
      </c>
      <c r="K20" s="4" t="str">
        <f t="shared" si="2"/>
        <v>OK</v>
      </c>
    </row>
    <row r="21" spans="1:11">
      <c r="A21" s="3">
        <v>44916</v>
      </c>
      <c r="B21" s="3" t="s">
        <v>45</v>
      </c>
      <c r="C21" s="3" t="s">
        <v>20</v>
      </c>
      <c r="D21" s="3" t="s">
        <v>21</v>
      </c>
      <c r="E21" s="3"/>
      <c r="F21" s="3">
        <v>349</v>
      </c>
      <c r="G21" s="3" t="s">
        <v>46</v>
      </c>
      <c r="H21" s="3" t="s">
        <v>22</v>
      </c>
      <c r="I21" s="4" t="str">
        <f t="shared" si="1"/>
        <v>OK</v>
      </c>
      <c r="J21" s="4" t="str">
        <f t="shared" si="0"/>
        <v>DUPLICATE</v>
      </c>
      <c r="K21" s="4" t="str">
        <f t="shared" si="2"/>
        <v>OK</v>
      </c>
    </row>
    <row r="22" spans="1:11">
      <c r="A22" s="3">
        <v>44917</v>
      </c>
      <c r="B22" s="3" t="s">
        <v>47</v>
      </c>
      <c r="C22" s="3" t="s">
        <v>17</v>
      </c>
      <c r="D22" s="3" t="s">
        <v>10</v>
      </c>
      <c r="E22" s="3">
        <v>1</v>
      </c>
      <c r="F22" s="3">
        <v>1499.97</v>
      </c>
      <c r="G22" s="5">
        <v>45316</v>
      </c>
      <c r="H22" s="3" t="s">
        <v>11</v>
      </c>
      <c r="I22" s="4" t="str">
        <f t="shared" si="1"/>
        <v>OK</v>
      </c>
      <c r="J22" s="4" t="str">
        <f t="shared" si="0"/>
        <v>OK</v>
      </c>
      <c r="K22" s="4" t="str">
        <f t="shared" si="2"/>
        <v>OK</v>
      </c>
    </row>
    <row r="23" spans="1:11">
      <c r="A23" s="3">
        <v>44917</v>
      </c>
      <c r="B23" s="3" t="s">
        <v>47</v>
      </c>
      <c r="C23" s="3" t="s">
        <v>17</v>
      </c>
      <c r="D23" s="3" t="s">
        <v>10</v>
      </c>
      <c r="E23" s="3">
        <v>1</v>
      </c>
      <c r="F23" s="3">
        <v>1499.97</v>
      </c>
      <c r="G23" s="5">
        <v>45316</v>
      </c>
      <c r="H23" s="3" t="s">
        <v>11</v>
      </c>
      <c r="I23" s="4" t="str">
        <f t="shared" si="1"/>
        <v>MISSING</v>
      </c>
      <c r="J23" s="4" t="str">
        <f t="shared" si="0"/>
        <v>OK</v>
      </c>
      <c r="K23" s="4" t="str">
        <f t="shared" si="2"/>
        <v>NON-ISO FORMAT</v>
      </c>
    </row>
    <row r="24" spans="1:11">
      <c r="A24" s="3">
        <v>44918</v>
      </c>
      <c r="B24" s="3" t="s">
        <v>48</v>
      </c>
      <c r="C24" s="3" t="s">
        <v>49</v>
      </c>
      <c r="D24" s="3" t="s">
        <v>18</v>
      </c>
      <c r="E24" s="3">
        <v>2</v>
      </c>
      <c r="F24" s="3">
        <v>899.5</v>
      </c>
      <c r="G24" s="5">
        <v>45317</v>
      </c>
      <c r="H24" s="3" t="s">
        <v>11</v>
      </c>
      <c r="I24" s="4" t="str">
        <f t="shared" si="1"/>
        <v>OK</v>
      </c>
      <c r="J24" s="4" t="str">
        <f t="shared" si="0"/>
        <v>OK</v>
      </c>
      <c r="K24" s="4" t="str">
        <f t="shared" si="2"/>
        <v>OK</v>
      </c>
    </row>
    <row r="25" spans="1:11">
      <c r="A25" s="3">
        <v>44919</v>
      </c>
      <c r="B25" s="3"/>
      <c r="C25" s="3" t="s">
        <v>50</v>
      </c>
      <c r="D25" s="3" t="s">
        <v>21</v>
      </c>
      <c r="E25" s="3">
        <v>5</v>
      </c>
      <c r="F25" s="3">
        <v>349</v>
      </c>
      <c r="G25" s="3" t="s">
        <v>51</v>
      </c>
      <c r="H25" s="3" t="s">
        <v>28</v>
      </c>
      <c r="I25" s="4" t="str">
        <f t="shared" si="1"/>
        <v>OK</v>
      </c>
      <c r="J25" s="4" t="str">
        <f t="shared" si="0"/>
        <v>OK</v>
      </c>
      <c r="K25" s="4" t="str">
        <f t="shared" si="2"/>
        <v>OK</v>
      </c>
    </row>
    <row r="26" spans="1:11">
      <c r="A26" s="3">
        <v>44920</v>
      </c>
      <c r="B26" s="3" t="s">
        <v>52</v>
      </c>
      <c r="C26" s="3" t="s">
        <v>53</v>
      </c>
      <c r="D26" s="3" t="s">
        <v>10</v>
      </c>
      <c r="E26" s="3">
        <v>3</v>
      </c>
      <c r="F26" s="3">
        <v>1499.9666</v>
      </c>
      <c r="G26" s="5">
        <v>45318</v>
      </c>
      <c r="H26" s="3" t="s">
        <v>15</v>
      </c>
      <c r="I26" s="4" t="str">
        <f t="shared" si="1"/>
        <v>MISSING</v>
      </c>
      <c r="J26" s="4" t="str">
        <f t="shared" si="0"/>
        <v>OK</v>
      </c>
      <c r="K26" s="4" t="str">
        <f t="shared" si="2"/>
        <v>NON-ISO FORMAT</v>
      </c>
    </row>
    <row r="27" spans="1:11">
      <c r="A27" s="3">
        <v>44921</v>
      </c>
      <c r="B27" s="3" t="s">
        <v>54</v>
      </c>
      <c r="C27" s="3" t="s">
        <v>55</v>
      </c>
      <c r="D27" s="3" t="s">
        <v>18</v>
      </c>
      <c r="E27" s="3">
        <v>1</v>
      </c>
      <c r="F27" s="3">
        <v>899.5</v>
      </c>
      <c r="G27" s="5">
        <v>45319</v>
      </c>
      <c r="H27" s="3" t="s">
        <v>11</v>
      </c>
      <c r="I27" s="4" t="str">
        <f t="shared" si="1"/>
        <v>MISSING</v>
      </c>
      <c r="J27" s="4" t="str">
        <f t="shared" si="0"/>
        <v>OK</v>
      </c>
      <c r="K27" s="4" t="str">
        <f t="shared" si="2"/>
        <v>OK</v>
      </c>
    </row>
    <row r="28" spans="1:11">
      <c r="A28" s="3">
        <v>44922</v>
      </c>
      <c r="B28" s="3" t="s">
        <v>56</v>
      </c>
      <c r="C28" s="3" t="s">
        <v>57</v>
      </c>
      <c r="D28" s="3" t="s">
        <v>21</v>
      </c>
      <c r="E28" s="3">
        <v>2</v>
      </c>
      <c r="F28" s="3"/>
      <c r="G28" s="3" t="s">
        <v>58</v>
      </c>
      <c r="H28" s="3" t="s">
        <v>22</v>
      </c>
      <c r="I28" s="4" t="str">
        <f t="shared" si="1"/>
        <v>MISSING</v>
      </c>
      <c r="J28" s="4" t="str">
        <f t="shared" si="0"/>
        <v>OK</v>
      </c>
      <c r="K28" s="4" t="str">
        <f t="shared" si="2"/>
        <v>NON-ISO FORMAT</v>
      </c>
    </row>
    <row r="29" spans="1:11">
      <c r="A29" s="3">
        <v>44923</v>
      </c>
      <c r="B29" s="3" t="s">
        <v>59</v>
      </c>
      <c r="C29" s="3" t="s">
        <v>13</v>
      </c>
      <c r="D29" s="3" t="s">
        <v>10</v>
      </c>
      <c r="E29" s="3"/>
      <c r="F29" s="3">
        <v>499.99</v>
      </c>
      <c r="G29" s="5">
        <v>45320</v>
      </c>
      <c r="H29" s="3" t="s">
        <v>11</v>
      </c>
      <c r="I29" s="4" t="str">
        <f t="shared" si="1"/>
        <v>MISSING</v>
      </c>
      <c r="J29" s="4" t="str">
        <f t="shared" si="0"/>
        <v>OK</v>
      </c>
      <c r="K29" s="4" t="str">
        <f t="shared" si="2"/>
        <v>NON-ISO FORMAT</v>
      </c>
    </row>
  </sheetData>
  <conditionalFormatting sqref="I4:K29">
    <cfRule type="cellIs" dxfId="1" priority="1" operator="equal">
      <formula>"OK"</formula>
    </cfRule>
    <cfRule type="cellIs" priority="2" operator="equal">
      <formula>"OK"</formula>
    </cfRule>
    <cfRule type="cellIs" dxfId="0" priority="3" operator="notEqual">
      <formula>"OK"</formula>
    </cfRule>
    <cfRule type="cellIs" priority="4" operator="notEqual">
      <formula>"OK"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Rehman</dc:creator>
  <cp:lastModifiedBy>Tayyab Rehman</cp:lastModifiedBy>
  <dcterms:created xsi:type="dcterms:W3CDTF">2026-07-30T17:40:51Z</dcterms:created>
  <dcterms:modified xsi:type="dcterms:W3CDTF">2026-08-01T11:52:58Z</dcterms:modified>
</cp:coreProperties>
</file>